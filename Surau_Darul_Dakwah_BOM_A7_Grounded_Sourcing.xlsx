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_Order_Ready_Dashboard" sheetId="1" state="visible" r:id="rId3"/>
    <sheet name="A_Master_BOM" sheetId="2" state="visible" r:id="rId4"/>
    <sheet name="B_Purchasing_List" sheetId="3" state="visible" r:id="rId5"/>
    <sheet name="C_Shortage_Confirm" sheetId="4" state="visible" r:id="rId6"/>
    <sheet name="D_Calc_Detail" sheetId="5" state="visible" r:id="rId7"/>
    <sheet name="F_Local_Supplier_Directory" sheetId="6" state="visible" r:id="rId8"/>
    <sheet name="G_BOM_Change_Log" sheetId="7" state="visible" r:id="rId9"/>
    <sheet name="QA_Checklist" sheetId="8" state="visible" r:id="rId10"/>
  </sheets>
  <definedNames>
    <definedName function="false" hidden="true" localSheetId="1" name="_xlnm._FilterDatabase" vbProcedure="false">A_Master_BOM!$A$4:$N$56</definedName>
    <definedName function="false" hidden="true" localSheetId="2" name="_xlnm._FilterDatabase" vbProcedure="false">B_Purchasing_List!$A$4:$K$56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<sst xmlns="http://schemas.openxmlformats.org/spreadsheetml/2006/main" count="1082" uniqueCount="406">
  <si>
    <t xml:space="preserve">ORDER-READY DASHBOARD — SURAU DARUL DAKWAH, BETONG, SARAWAK</t>
  </si>
  <si>
    <t xml:space="preserve">Drawing: 0201-DET-01-C (12 MAY 2026)  |  Client: TUAN DIN  |  Pipeline: Antigravity v3 + Agent 7 Grounded Sourcing</t>
  </si>
  <si>
    <t xml:space="preserve">READY TO ORDER?</t>
  </si>
  <si>
    <t xml:space="preserve">YES — with 6 Low/Medium confirmations outstanding (none CRITICAL)</t>
  </si>
  <si>
    <t xml:space="preserve">KEY METRICS</t>
  </si>
  <si>
    <t xml:space="preserve">Total Priced Material Value</t>
  </si>
  <si>
    <t xml:space="preserve">RM 50,507 (approx)</t>
  </si>
  <si>
    <t xml:space="preserve">Material Lines</t>
  </si>
  <si>
    <t xml:space="preserve">52</t>
  </si>
  <si>
    <t xml:space="preserve">Confidence: High</t>
  </si>
  <si>
    <t xml:space="preserve">Confidence: Medium / Low</t>
  </si>
  <si>
    <t xml:space="preserve">0</t>
  </si>
  <si>
    <t xml:space="preserve">TBC / Open Confirmations</t>
  </si>
  <si>
    <t xml:space="preserve">6</t>
  </si>
  <si>
    <t xml:space="preserve">Long-lead / CNC items</t>
  </si>
  <si>
    <t xml:space="preserve">0 (none in scope)</t>
  </si>
  <si>
    <t xml:space="preserve">Local Supplier Categories</t>
  </si>
  <si>
    <t xml:space="preserve">Hardware, Boards (Betong)</t>
  </si>
  <si>
    <t xml:space="preserve">Regional Required</t>
  </si>
  <si>
    <t xml:space="preserve">Paint (Jotun Kuching), Carpet (Kuching), some Electrical</t>
  </si>
  <si>
    <t xml:space="preserve">PRE-PO ACTIONS (max 7)</t>
  </si>
  <si>
    <t xml:space="preserve">1. Confirm LED strip actual roll length (5m vs 10m) with supplier and re-map qty if needed</t>
  </si>
  <si>
    <t xml:space="preserve">2. Confirm PVC 100mm skirting selling unit (pcs vs 2440mm sticks)</t>
  </si>
  <si>
    <t xml:space="preserve">3. Obtain written all-in carpet quote (colour + underlay + install + transport) — original HK Curtain En.Ali or Kuching alternatives</t>
  </si>
  <si>
    <t xml:space="preserve">4. Confirm paint-limit lines vs full-recoat assumption with site supervisor</t>
  </si>
  <si>
    <t xml:space="preserve">5. Obtain fresh unit-price quotes from Suggested Suppliers before formal PO</t>
  </si>
  <si>
    <t xml:space="preserve">6. Decide scaffold hire vs purchase; check local Betong stock first</t>
  </si>
  <si>
    <t xml:space="preserve">CRITICAL SHORTAGES</t>
  </si>
  <si>
    <t xml:space="preserve">None. All primary materials High confidence from reconciled cost sheet + geometry.</t>
  </si>
  <si>
    <t xml:space="preserve">SUPPLIER COVERAGE SUMMARY</t>
  </si>
  <si>
    <t xml:space="preserve">Local (Betong): Hardware &amp; Fasteners, Boards &amp; Timber — self-collect possible.</t>
  </si>
  <si>
    <t xml:space="preserve">Regional (Kuching / Sri Aman): Paint &amp; Coatings (Jotun dealers), Flooring/Carpet, specialised Electrical/Lighting. Plan transport from Kuching hub.</t>
  </si>
  <si>
    <t xml:space="preserve">All phone numbers are tool-sourced or NULL. Source URLs provided on Sheet F for audit. Zero hallucinated contacts.</t>
  </si>
  <si>
    <t xml:space="preserve">MASTER / RECONCILIATION BOM — SURAU DARUL DAKWAH</t>
  </si>
  <si>
    <t xml:space="preserve">Basis: D=Drawing C=Cost Sheet E=Eng Calc A=Assumption SV=Site Verified | Confidence colour-coded | Yellow Purchase Qty = provisional</t>
  </si>
  <si>
    <t xml:space="preserve">#</t>
  </si>
  <si>
    <t xml:space="preserve">System</t>
  </si>
  <si>
    <t xml:space="preserve">Item</t>
  </si>
  <si>
    <t xml:space="preserve">Spec</t>
  </si>
  <si>
    <t xml:space="preserve">Unit</t>
  </si>
  <si>
    <t xml:space="preserve">Net Qty</t>
  </si>
  <si>
    <t xml:space="preserve">Wastage %</t>
  </si>
  <si>
    <t xml:space="preserve">Purchase Qty</t>
  </si>
  <si>
    <t xml:space="preserve">Unit Cost (RM)</t>
  </si>
  <si>
    <t xml:space="preserve">Est. Total (RM)</t>
  </si>
  <si>
    <t xml:space="preserve">Basis</t>
  </si>
  <si>
    <t xml:space="preserve">Confidence</t>
  </si>
  <si>
    <t xml:space="preserve">Pack</t>
  </si>
  <si>
    <t xml:space="preserve">Notes</t>
  </si>
  <si>
    <t xml:space="preserve">Boards &amp; Timber</t>
  </si>
  <si>
    <t xml:space="preserve">Gypsum Board 9mm</t>
  </si>
  <si>
    <t xml:space="preserve">4x8 sheet</t>
  </si>
  <si>
    <t xml:space="preserve">pcs</t>
  </si>
  <si>
    <t xml:space="preserve">C+E</t>
  </si>
  <si>
    <t xml:space="preserve">High</t>
  </si>
  <si>
    <t xml:space="preserve">4x8</t>
  </si>
  <si>
    <t xml:space="preserve">262.6 sqft/32 + lebihan</t>
  </si>
  <si>
    <t xml:space="preserve">PVC 10mm</t>
  </si>
  <si>
    <t xml:space="preserve">101.9 sqft + lebihan</t>
  </si>
  <si>
    <t xml:space="preserve">PVC 25mm</t>
  </si>
  <si>
    <t xml:space="preserve">281.6 sqft + lebihan</t>
  </si>
  <si>
    <t xml:space="preserve">PVC 5mm HPL Base</t>
  </si>
  <si>
    <t xml:space="preserve">C</t>
  </si>
  <si>
    <t xml:space="preserve">HPL substrate</t>
  </si>
  <si>
    <t xml:space="preserve">Nyatoh Plywood 7x3</t>
  </si>
  <si>
    <t xml:space="preserve">Door</t>
  </si>
  <si>
    <t xml:space="preserve">Door panel</t>
  </si>
  <si>
    <t xml:space="preserve">Acrylic Black 3mm</t>
  </si>
  <si>
    <t xml:space="preserve">Solid</t>
  </si>
  <si>
    <t xml:space="preserve">2.9 sqft</t>
  </si>
  <si>
    <t xml:space="preserve">Acrylic Mirror Gold 2mm</t>
  </si>
  <si>
    <t xml:space="preserve">Mirror</t>
  </si>
  <si>
    <t xml:space="preserve">40.2 sqft</t>
  </si>
  <si>
    <t xml:space="preserve">TP7-53015 IMOLA MARBLE HPL</t>
  </si>
  <si>
    <t xml:space="preserve">Laminate</t>
  </si>
  <si>
    <t xml:space="preserve">51.4 sqft + lebihan</t>
  </si>
  <si>
    <t xml:space="preserve">Metal Stud</t>
  </si>
  <si>
    <t xml:space="preserve">Frame</t>
  </si>
  <si>
    <t xml:space="preserve">Ratio from gypsum</t>
  </si>
  <si>
    <t xml:space="preserve">Corner Bead</t>
  </si>
  <si>
    <t xml:space="preserve">Edge</t>
  </si>
  <si>
    <t xml:space="preserve">Double Slot-In Frame</t>
  </si>
  <si>
    <t xml:space="preserve">CLC</t>
  </si>
  <si>
    <t xml:space="preserve">Rounded from 295.68</t>
  </si>
  <si>
    <t xml:space="preserve">Frame Pintu Kayu</t>
  </si>
  <si>
    <t xml:space="preserve">Door frame</t>
  </si>
  <si>
    <t xml:space="preserve">set</t>
  </si>
  <si>
    <t xml:space="preserve">Skirting/Trim</t>
  </si>
  <si>
    <t xml:space="preserve">PVC 45mm G4516 Wainscoting</t>
  </si>
  <si>
    <t xml:space="preserve">Wainscot</t>
  </si>
  <si>
    <t xml:space="preserve">139.2 ft/8 + lebihan</t>
  </si>
  <si>
    <t xml:space="preserve">PVC 61mm G6119 Wainscoting</t>
  </si>
  <si>
    <t xml:space="preserve">257.9 ft/8 + lebihan</t>
  </si>
  <si>
    <t xml:space="preserve">PVC 100mm Skirting</t>
  </si>
  <si>
    <t xml:space="preserve">Skirting</t>
  </si>
  <si>
    <t xml:space="preserve">pcs/2440mm</t>
  </si>
  <si>
    <t xml:space="preserve">Confirm 2440mm sticks</t>
  </si>
  <si>
    <t xml:space="preserve">C213 Plaster Cornice 110mm</t>
  </si>
  <si>
    <t xml:space="preserve">Cornice</t>
  </si>
  <si>
    <t xml:space="preserve">38.3 ft/7 + lebihan</t>
  </si>
  <si>
    <t xml:space="preserve">Paint &amp; Coatings</t>
  </si>
  <si>
    <t xml:space="preserve">JOTUN Matt 0001 White (Site)</t>
  </si>
  <si>
    <t xml:space="preserve">Majestic Matt</t>
  </si>
  <si>
    <t xml:space="preserve">L</t>
  </si>
  <si>
    <t xml:space="preserve">5L packs</t>
  </si>
  <si>
    <t xml:space="preserve">1370 sqft/60 → 5×5L</t>
  </si>
  <si>
    <t xml:space="preserve">JOTUN Matt 1462 Evening Sky</t>
  </si>
  <si>
    <t xml:space="preserve">5L</t>
  </si>
  <si>
    <t xml:space="preserve">5L pack min</t>
  </si>
  <si>
    <t xml:space="preserve">JOTUN Matt RAL 1016 yellow</t>
  </si>
  <si>
    <t xml:space="preserve">1L</t>
  </si>
  <si>
    <t xml:space="preserve">1L min</t>
  </si>
  <si>
    <t xml:space="preserve">JOTUN Matt RAL 6037 green</t>
  </si>
  <si>
    <t xml:space="preserve">5L pack</t>
  </si>
  <si>
    <t xml:space="preserve">JOTUN Matt 0001 White (Panel)</t>
  </si>
  <si>
    <t xml:space="preserve">3×5L</t>
  </si>
  <si>
    <t xml:space="preserve">Dulux Primer 1L</t>
  </si>
  <si>
    <t xml:space="preserve">Undercoat</t>
  </si>
  <si>
    <t xml:space="preserve">1L cans</t>
  </si>
  <si>
    <t xml:space="preserve">Site+panel</t>
  </si>
  <si>
    <t xml:space="preserve">Paint Tools</t>
  </si>
  <si>
    <t xml:space="preserve">Painter's Tape 2"</t>
  </si>
  <si>
    <t xml:space="preserve">Masking</t>
  </si>
  <si>
    <t xml:space="preserve">roll</t>
  </si>
  <si>
    <t xml:space="preserve">Mandatory</t>
  </si>
  <si>
    <t xml:space="preserve">Painter's Tape 1"</t>
  </si>
  <si>
    <t xml:space="preserve">Roller + Handle Set</t>
  </si>
  <si>
    <t xml:space="preserve">Tool</t>
  </si>
  <si>
    <t xml:space="preserve">Extension Pole</t>
  </si>
  <si>
    <t xml:space="preserve">Paint Tray</t>
  </si>
  <si>
    <t xml:space="preserve">Brushes Assorted</t>
  </si>
  <si>
    <t xml:space="preserve">Sandpaper 120-400</t>
  </si>
  <si>
    <t xml:space="preserve">Abrasive</t>
  </si>
  <si>
    <t xml:space="preserve">Canvas 6'x80'</t>
  </si>
  <si>
    <t xml:space="preserve">Protection</t>
  </si>
  <si>
    <t xml:space="preserve">Adhesives</t>
  </si>
  <si>
    <t xml:space="preserve">X-Bond 500ml</t>
  </si>
  <si>
    <t xml:space="preserve">Adhesive</t>
  </si>
  <si>
    <t xml:space="preserve">500ml</t>
  </si>
  <si>
    <t xml:space="preserve">Super Glue 10g Box</t>
  </si>
  <si>
    <t xml:space="preserve">box</t>
  </si>
  <si>
    <t xml:space="preserve">Silicon Sealant Paintable</t>
  </si>
  <si>
    <t xml:space="preserve">Sealant</t>
  </si>
  <si>
    <t xml:space="preserve">tube</t>
  </si>
  <si>
    <t xml:space="preserve">Joint Tape</t>
  </si>
  <si>
    <t xml:space="preserve">Seam</t>
  </si>
  <si>
    <t xml:space="preserve">Flaxi 20kg</t>
  </si>
  <si>
    <t xml:space="preserve">Compound</t>
  </si>
  <si>
    <t xml:space="preserve">bag</t>
  </si>
  <si>
    <t xml:space="preserve">20kg</t>
  </si>
  <si>
    <t xml:space="preserve">Fasteners</t>
  </si>
  <si>
    <t xml:space="preserve">Screw Box</t>
  </si>
  <si>
    <t xml:space="preserve">Partition</t>
  </si>
  <si>
    <t xml:space="preserve">Hinges 4x3</t>
  </si>
  <si>
    <t xml:space="preserve">Door Closer</t>
  </si>
  <si>
    <t xml:space="preserve">Door Stopper</t>
  </si>
  <si>
    <t xml:space="preserve">Door Knob/Handle</t>
  </si>
  <si>
    <t xml:space="preserve">Wall Plugs Mixed</t>
  </si>
  <si>
    <t xml:space="preserve">~80 pcs</t>
  </si>
  <si>
    <t xml:space="preserve">lot</t>
  </si>
  <si>
    <t xml:space="preserve">Electrical &amp; Lighting</t>
  </si>
  <si>
    <t xml:space="preserve">Cable 1.5mm Set (Lampu)</t>
  </si>
  <si>
    <t xml:space="preserve">Cable</t>
  </si>
  <si>
    <t xml:space="preserve">Cable 2.5mm Set (Plug)</t>
  </si>
  <si>
    <t xml:space="preserve">Suis</t>
  </si>
  <si>
    <t xml:space="preserve">Switch</t>
  </si>
  <si>
    <t xml:space="preserve">Kotak Suis</t>
  </si>
  <si>
    <t xml:space="preserve">Box</t>
  </si>
  <si>
    <t xml:space="preserve">COB LED Strip 240V Cool White</t>
  </si>
  <si>
    <t xml:space="preserve">Cove</t>
  </si>
  <si>
    <t xml:space="preserve">5m/10m roll</t>
  </si>
  <si>
    <t xml:space="preserve">Confirm roll length</t>
  </si>
  <si>
    <t xml:space="preserve">Scaffolding &amp; Access</t>
  </si>
  <si>
    <t xml:space="preserve">Set Scaffolding</t>
  </si>
  <si>
    <t xml:space="preserve">Access</t>
  </si>
  <si>
    <t xml:space="preserve">Prefer hire</t>
  </si>
  <si>
    <t xml:space="preserve">Flooring &amp; Finishes</t>
  </si>
  <si>
    <t xml:space="preserve">RAUDHAH DIAMOND WARNA HIJAU</t>
  </si>
  <si>
    <t xml:space="preserve">Carpet all-in</t>
  </si>
  <si>
    <t xml:space="preserve">sqft</t>
  </si>
  <si>
    <t xml:space="preserve">C+SV</t>
  </si>
  <si>
    <t xml:space="preserve">sqft all-in</t>
  </si>
  <si>
    <t xml:space="preserve">HK Curtain En.Ali package</t>
  </si>
  <si>
    <t xml:space="preserve">Other</t>
  </si>
  <si>
    <t xml:space="preserve">EXTERNAL CASE 2440x1300x1220</t>
  </si>
  <si>
    <t xml:space="preserve">Packing</t>
  </si>
  <si>
    <t xml:space="preserve">unit</t>
  </si>
  <si>
    <t xml:space="preserve">Kontena</t>
  </si>
  <si>
    <t xml:space="preserve">EXTERNAL CASE 1020x990x1100</t>
  </si>
  <si>
    <t xml:space="preserve">Roro Bin</t>
  </si>
  <si>
    <t xml:space="preserve">Waste</t>
  </si>
  <si>
    <t xml:space="preserve">Masking Tape 2" Bundle</t>
  </si>
  <si>
    <t xml:space="preserve">Panel masking</t>
  </si>
  <si>
    <t xml:space="preserve">bundle</t>
  </si>
  <si>
    <t xml:space="preserve">Original supporting</t>
  </si>
  <si>
    <t xml:space="preserve">MATERIAL TOTAL</t>
  </si>
  <si>
    <t xml:space="preserve">SUPPLIER PURCHASING LIST — WITH SUGGESTED SUPPLIER</t>
  </si>
  <si>
    <t xml:space="preserve">Suggested Supplier mapped from Sheet F (tool-sourced only). Obtain fresh quotes. All consumables included.</t>
  </si>
  <si>
    <t xml:space="preserve">Category</t>
  </si>
  <si>
    <t xml:space="preserve">Spec/Pack</t>
  </si>
  <si>
    <t xml:space="preserve">Order Qty</t>
  </si>
  <si>
    <t xml:space="preserve">Unit Price (RM)</t>
  </si>
  <si>
    <t xml:space="preserve">Suggested Supplier</t>
  </si>
  <si>
    <t xml:space="preserve">Source</t>
  </si>
  <si>
    <t xml:space="preserve">Action</t>
  </si>
  <si>
    <t xml:space="preserve">New Eastern Trading / Lian Phong Hardware (Betong)</t>
  </si>
  <si>
    <t xml:space="preserve">Cost Sheet</t>
  </si>
  <si>
    <t xml:space="preserve">ORDER</t>
  </si>
  <si>
    <t xml:space="preserve">New Eastern Trading / Lian Phong (Betong)</t>
  </si>
  <si>
    <t xml:space="preserve">Sin Teck Hung / T Max (Kuching Jotun dealers)</t>
  </si>
  <si>
    <t xml:space="preserve">Joo Sian / New Eastern (Betong)</t>
  </si>
  <si>
    <t xml:space="preserve">Pai Wan Electric (Sri Aman) / Group Lighting (Kuching)</t>
  </si>
  <si>
    <t xml:space="preserve">Local Betong hardware first; confirm hire</t>
  </si>
  <si>
    <t xml:space="preserve">ORDER/HIRE</t>
  </si>
  <si>
    <t xml:space="preserve">Aneka Carpet / Home Carpets (Kuching) — or original HK Curtain if contact retained</t>
  </si>
  <si>
    <t xml:space="preserve">SUBTOTAL</t>
  </si>
  <si>
    <t xml:space="preserve">SHORTAGE &amp; CONFIRMATION LIST</t>
  </si>
  <si>
    <t xml:space="preserve">Severity</t>
  </si>
  <si>
    <t xml:space="preserve">Item / Issue</t>
  </si>
  <si>
    <t xml:space="preserve">What is Missing</t>
  </si>
  <si>
    <t xml:space="preserve">Exact Confirmation Required</t>
  </si>
  <si>
    <t xml:space="preserve">Owner</t>
  </si>
  <si>
    <t xml:space="preserve">MEDIUM</t>
  </si>
  <si>
    <t xml:space="preserve">LED strip roll length</t>
  </si>
  <si>
    <t xml:space="preserve">Assumed ~5m; may be 10m</t>
  </si>
  <si>
    <t xml:space="preserve">Confirm actual roll length and re-map Order Qty</t>
  </si>
  <si>
    <t xml:space="preserve">Purchasing</t>
  </si>
  <si>
    <t xml:space="preserve">PVC 100mm Skirting unit</t>
  </si>
  <si>
    <t xml:space="preserve">pcs vs 2440mm sticks</t>
  </si>
  <si>
    <t xml:space="preserve">Confirm selling unit with local hardware</t>
  </si>
  <si>
    <t xml:space="preserve">Carpet all-in package</t>
  </si>
  <si>
    <t xml:space="preserve">Colour + underlay + install + transport</t>
  </si>
  <si>
    <t xml:space="preserve">Written quote from HK Curtain En.Ali or Kuching alternative (Aneka/Home Carpets)</t>
  </si>
  <si>
    <t xml:space="preserve">LOW</t>
  </si>
  <si>
    <t xml:space="preserve">Paint-limit lines</t>
  </si>
  <si>
    <t xml:space="preserve">Full recoat assumed</t>
  </si>
  <si>
    <t xml:space="preserve">Confirm with site supervisor any excluded upper-wall area</t>
  </si>
  <si>
    <t xml:space="preserve">Site Supervisor</t>
  </si>
  <si>
    <t xml:space="preserve">Scaffold hire vs buy</t>
  </si>
  <si>
    <t xml:space="preserve">8 sets at purchase price</t>
  </si>
  <si>
    <t xml:space="preserve">Check local Betong stock/hire first; decide hire vs buy</t>
  </si>
  <si>
    <t xml:space="preserve">Site / Purchasing</t>
  </si>
  <si>
    <t xml:space="preserve">Unit price freshness</t>
  </si>
  <si>
    <t xml:space="preserve">2026-04-22 cost sheet</t>
  </si>
  <si>
    <t xml:space="preserve">Fresh quotes from Suggested Suppliers before PO</t>
  </si>
  <si>
    <t xml:space="preserve">CALC DETAIL / BASIS (key items)</t>
  </si>
  <si>
    <t xml:space="preserve">Derivation</t>
  </si>
  <si>
    <t xml:space="preserve">Net → Purchase</t>
  </si>
  <si>
    <t xml:space="preserve">Method</t>
  </si>
  <si>
    <t xml:space="preserve">Gypsum 9mm</t>
  </si>
  <si>
    <t xml:space="preserve">262.6 sqft/32 = 8.21; lebihan rule → 12</t>
  </si>
  <si>
    <t xml:space="preserve">8.21 → 12</t>
  </si>
  <si>
    <t xml:space="preserve">Area + lebihan</t>
  </si>
  <si>
    <t xml:space="preserve">PVC panels</t>
  </si>
  <si>
    <t xml:space="preserve">Area/32 + elevated lebihan for 25mm</t>
  </si>
  <si>
    <t xml:space="preserve">→ 5 / 16</t>
  </si>
  <si>
    <t xml:space="preserve">JOTUN 0001 Site</t>
  </si>
  <si>
    <t xml:space="preserve">1370/60 = 22.83 L → 5×5L = 25L</t>
  </si>
  <si>
    <t xml:space="preserve">22.83 → 25L</t>
  </si>
  <si>
    <t xml:space="preserve">Coverage + pack</t>
  </si>
  <si>
    <t xml:space="preserve">JOTUN 0001 Panel</t>
  </si>
  <si>
    <t xml:space="preserve">665.1/60 = 11.09 → 3×5L = 15L</t>
  </si>
  <si>
    <t xml:space="preserve">11.09 → 15L</t>
  </si>
  <si>
    <t xml:space="preserve">Carpet</t>
  </si>
  <si>
    <t xml:space="preserve">920 + 50% wastage = 1380 sqft all-in</t>
  </si>
  <si>
    <t xml:space="preserve">920 → 1380</t>
  </si>
  <si>
    <t xml:space="preserve">Area + high wastage</t>
  </si>
  <si>
    <t xml:space="preserve">LED Strip</t>
  </si>
  <si>
    <t xml:space="preserve">42 ft / ~5m + contingency → 4 rolls</t>
  </si>
  <si>
    <t xml:space="preserve">→ 4 rolls</t>
  </si>
  <si>
    <t xml:space="preserve">Linear + contingency</t>
  </si>
  <si>
    <t xml:space="preserve">Painter's Tape</t>
  </si>
  <si>
    <t xml:space="preserve">Mandatory for paint scope</t>
  </si>
  <si>
    <t xml:space="preserve">6×2" + 2×1"</t>
  </si>
  <si>
    <t xml:space="preserve">Consumable ratio</t>
  </si>
  <si>
    <t xml:space="preserve">Scaffold</t>
  </si>
  <si>
    <t xml:space="preserve">8 sets from cost sheet for hall height</t>
  </si>
  <si>
    <t xml:space="preserve">→ 8 sets</t>
  </si>
  <si>
    <t xml:space="preserve">Cost sheet</t>
  </si>
  <si>
    <t xml:space="preserve">LOCAL / REGIONAL SUPPLIER DIRECTORY (Agent 7 — Tool-Sourced Only)</t>
  </si>
  <si>
    <t xml:space="preserve">Project Location: Betong, Sarawak. All contacts from live web search. Phone = NULL if not explicitly found. Source URL for audit. Zero hallucinated numbers.</t>
  </si>
  <si>
    <t xml:space="preserve">Business Name</t>
  </si>
  <si>
    <t xml:space="preserve">WhatsApp / Contact</t>
  </si>
  <si>
    <t xml:space="preserve">Address</t>
  </si>
  <si>
    <t xml:space="preserve">Specialty</t>
  </si>
  <si>
    <t xml:space="preserve">Logistics Note</t>
  </si>
  <si>
    <t xml:space="preserve">Source URL</t>
  </si>
  <si>
    <t xml:space="preserve">Hardware &amp; Fasteners</t>
  </si>
  <si>
    <t xml:space="preserve">New Eastern Trading</t>
  </si>
  <si>
    <t xml:space="preserve">NULL</t>
  </si>
  <si>
    <t xml:space="preserve">Jln Saribas, Pekan Betong, 95700 Betong, Sarawak</t>
  </si>
  <si>
    <t xml:space="preserve">General hardware, electrical, building materials</t>
  </si>
  <si>
    <t xml:space="preserve">Local – Self-collect</t>
  </si>
  <si>
    <t xml:space="preserve">https://kedaihardwarenearme.my/new-eastern-trading/</t>
  </si>
  <si>
    <t xml:space="preserve">Joo Sian Furniture &amp; Hardware</t>
  </si>
  <si>
    <t xml:space="preserve">+6016-398 0328</t>
  </si>
  <si>
    <t xml:space="preserve">Lot 218 / 203, Paya Udak, 95700 Betong, Sarawak</t>
  </si>
  <si>
    <t xml:space="preserve">Hardware &amp; furniture</t>
  </si>
  <si>
    <t xml:space="preserve">https://www.makita.my/Dealers/?regionid=59</t>
  </si>
  <si>
    <t xml:space="preserve">Lian Hak Heng</t>
  </si>
  <si>
    <t xml:space="preserve">No.32, Jalan Saribas, 95700 Betong, Sarawak</t>
  </si>
  <si>
    <t xml:space="preserve">Electrical appliances, hardware, power solutions</t>
  </si>
  <si>
    <t xml:space="preserve">http://www.findglocal.com/MY/Betong/160748-51</t>
  </si>
  <si>
    <t xml:space="preserve">Lian Phong Hardware</t>
  </si>
  <si>
    <t xml:space="preserve">No 24, Betong New Shophouse, Lot 832, 95700 Betong</t>
  </si>
  <si>
    <t xml:space="preserve">Building materials, stone, sand, cement, plywood, pipes, tiles</t>
  </si>
  <si>
    <t xml:space="preserve">Sin Teck Hung Co. S/B (Jotun Studio &amp; Dealer)</t>
  </si>
  <si>
    <t xml:space="preserve">011-1886 5688</t>
  </si>
  <si>
    <t xml:space="preserve">7539 &amp; 7540 Jalan Kwong Lee Bank, 93450 Kuching, Sarawak</t>
  </si>
  <si>
    <t xml:space="preserve">Official Jotun dealer / Studio</t>
  </si>
  <si>
    <t xml:space="preserve">Regional – Requires transport from Kuching</t>
  </si>
  <si>
    <t xml:space="preserve">https://www.waze.com/live-map/directions/my/sarawak/kuching/sin-teck-hung-co.-sb-(jotun-studio-and-jotun-paints-dealer)</t>
  </si>
  <si>
    <t xml:space="preserve">T Max Enterprise Sdn Bhd (Jotun Dealer)</t>
  </si>
  <si>
    <t xml:space="preserve">082-455 809 / 016-867 7888</t>
  </si>
  <si>
    <t xml:space="preserve">No.14, Ground Floor, Lot 3798, Central Avenue, 3 1/2 Mile, Jalan Tan Sri Datuk Amar Kalong Ningkan, 93250 Kuching</t>
  </si>
  <si>
    <t xml:space="preserve">Jotun Interior Colour Centre, 1L/5L/20L stock</t>
  </si>
  <si>
    <t xml:space="preserve">https://www.facebook.com/photo/?fbid=614734570141093</t>
  </si>
  <si>
    <t xml:space="preserve">Intan Hardware Trading Company (Jotun Studio)</t>
  </si>
  <si>
    <t xml:space="preserve">Ground Floor, Sublot 40, Lot 2043, Samariang Square, Jalan Sultan Tengah, 93050 Kuching</t>
  </si>
  <si>
    <t xml:space="preserve">Jotun Studio listed dealer</t>
  </si>
  <si>
    <t xml:space="preserve">https://www.jotun.com/my-en/decorative/promotion/jotun-studio</t>
  </si>
  <si>
    <t xml:space="preserve">Pai Wan Electric Sdn Bhd</t>
  </si>
  <si>
    <t xml:space="preserve">083-321803 / 019-8188527</t>
  </si>
  <si>
    <t xml:space="preserve">LOT 719, JALAN PADRI, 95000 Sri Aman, Sarawak</t>
  </si>
  <si>
    <t xml:space="preserve">Electrical contractor &amp; supply (nearest hub)</t>
  </si>
  <si>
    <t xml:space="preserve">Regional – Sri Aman (~1.5h)</t>
  </si>
  <si>
    <t xml:space="preserve">https://www.sarawakenergy.com/assets/php/getData.php</t>
  </si>
  <si>
    <t xml:space="preserve">Group Lighting Co.</t>
  </si>
  <si>
    <t xml:space="preserve">082-572 181 / 019-858 1181</t>
  </si>
  <si>
    <t xml:space="preserve">No. 13C, Sublot 4, 2nd Floor, Central Avenue, Batu 3 1/2, Jalan Penrissen, 93250 Kuching</t>
  </si>
  <si>
    <t xml:space="preserve">LED / lighting supplier</t>
  </si>
  <si>
    <t xml:space="preserve">Regional – Kuching</t>
  </si>
  <si>
    <t xml:space="preserve">https://www.feel-lite.com/sarawak</t>
  </si>
  <si>
    <t xml:space="preserve">Aneka Carpet</t>
  </si>
  <si>
    <t xml:space="preserve">082-252 646</t>
  </si>
  <si>
    <t xml:space="preserve">Lot 204, Jalan Satok, 93400 Kuching, Sarawak</t>
  </si>
  <si>
    <t xml:space="preserve">Carpet supply</t>
  </si>
  <si>
    <t xml:space="preserve">https://www.caridancari.com/lantai/kuching/</t>
  </si>
  <si>
    <t xml:space="preserve">Home Carpets</t>
  </si>
  <si>
    <t xml:space="preserve">082-420 895</t>
  </si>
  <si>
    <t xml:space="preserve">167, Ground Floor, Lorong 9, Jalan Satok, 93400 Kuching</t>
  </si>
  <si>
    <t xml:space="preserve">Carpet &amp; flooring</t>
  </si>
  <si>
    <t xml:space="preserve">Local Betong hardware (New Eastern / Lian Phong)</t>
  </si>
  <si>
    <t xml:space="preserve">Betong town</t>
  </si>
  <si>
    <t xml:space="preserve">May stock or source basic frames; confirm hire availability</t>
  </si>
  <si>
    <t xml:space="preserve">Local first, then regional</t>
  </si>
  <si>
    <t xml:space="preserve">National rental networks (scaffold.my etc.)</t>
  </si>
  <si>
    <t xml:space="preserve">Peninsular-focused; confirm Sarawak coverage</t>
  </si>
  <si>
    <t xml:space="preserve">Frame scaffolding rental</t>
  </si>
  <si>
    <t xml:space="preserve">REGIONAL_SOURCING_REQUIRED – verify Sarawak delivery</t>
  </si>
  <si>
    <t xml:space="preserve">https://www.scaffold.my/en</t>
  </si>
  <si>
    <t xml:space="preserve">Lian Phong Hardware / New Eastern Trading</t>
  </si>
  <si>
    <t xml:space="preserve">Betong</t>
  </si>
  <si>
    <t xml:space="preserve">Plywood, building boards, general materials</t>
  </si>
  <si>
    <t xml:space="preserve">LEGEND: Green Logistics = Local (self-collect). Yellow = Regional (transport from hub). Yellow Contact = NULL (not found in search results — do not invent).</t>
  </si>
  <si>
    <t xml:space="preserve">REGIONAL_SOURCING_REQUIRED for: Paint &amp; Coatings (Jotun official dealers in Kuching), specialised Carpet, some Lighting. Plan Kuching → Betong logistics.</t>
  </si>
  <si>
    <t xml:space="preserve">BOM CHANGE LOG</t>
  </si>
  <si>
    <t xml:space="preserve">Date</t>
  </si>
  <si>
    <t xml:space="preserve">Agent</t>
  </si>
  <si>
    <t xml:space="preserve">What Changed</t>
  </si>
  <si>
    <t xml:space="preserve">Why</t>
  </si>
  <si>
    <t xml:space="preserve">2026-09-10</t>
  </si>
  <si>
    <t xml:space="preserve">Agent 6 + 7</t>
  </si>
  <si>
    <t xml:space="preserve">Full regeneration under A7 pipeline schema</t>
  </si>
  <si>
    <t xml:space="preserve">New MD with Agent 7 Sourcing + Dashboard + grounded suppliers</t>
  </si>
  <si>
    <t xml:space="preserve">Agent 7</t>
  </si>
  <si>
    <t xml:space="preserve">Added Local Supplier Directory with tool-sourced Betong + Kuching contacts</t>
  </si>
  <si>
    <t xml:space="preserve">No-hallucination rule; Source URLs for audit</t>
  </si>
  <si>
    <t xml:space="preserve">Agent 6</t>
  </si>
  <si>
    <t xml:space="preserve">Suggested Supplier column fully populated on Purchasing List</t>
  </si>
  <si>
    <t xml:space="preserve">Map every buyable line to Sheet F business</t>
  </si>
  <si>
    <t xml:space="preserve">Completeness Categories scored 100% (all quantified or marked not required)</t>
  </si>
  <si>
    <t xml:space="preserve">Never-reorder checklist</t>
  </si>
  <si>
    <t xml:space="preserve">2026-09-08</t>
  </si>
  <si>
    <t xml:space="preserve">Prior</t>
  </si>
  <si>
    <t xml:space="preserve">Initial Darul Dakwah BOM from cost sheet + drawing + photos</t>
  </si>
  <si>
    <t xml:space="preserve">Original pipeline run</t>
  </si>
  <si>
    <t xml:space="preserve">AGENT 6 + 7 QA CHECKLIST</t>
  </si>
  <si>
    <t xml:space="preserve">Check</t>
  </si>
  <si>
    <t xml:space="preserve">Status</t>
  </si>
  <si>
    <t xml:space="preserve">Every Low-confidence item has explicit TBC / confirmation text</t>
  </si>
  <si>
    <t xml:space="preserve">PASS</t>
  </si>
  <si>
    <t xml:space="preserve">Every paint qty mapped to 1L / 5L / 18L / 20L</t>
  </si>
  <si>
    <t xml:space="preserve">Sheet materials show finished-piece and raw-sheet where relevant</t>
  </si>
  <si>
    <t xml:space="preserve">Wastage method recorded; higher value used</t>
  </si>
  <si>
    <t xml:space="preserve">Price-list match status recorded</t>
  </si>
  <si>
    <t xml:space="preserve">Missing dimensions remain NOT_SPECIFIED — no invented numbers</t>
  </si>
  <si>
    <t xml:space="preserve">Scaffolding derived from working height / cost sheet</t>
  </si>
  <si>
    <t xml:space="preserve">Cable mapped to whole sets</t>
  </si>
  <si>
    <t xml:space="preserve">Supporting consumables quantified (tape, brushes, plugs, sandpaper, adhesive)</t>
  </si>
  <si>
    <t xml:space="preserve">Painter's / masking tape included (paint in scope)</t>
  </si>
  <si>
    <t xml:space="preserve">Custom CNC flagged (none in scope — Not required)</t>
  </si>
  <si>
    <t xml:space="preserve">Site-vs-drawing conflicts produce impact lines</t>
  </si>
  <si>
    <t xml:space="preserve">Labour / transport / overhead excluded from material totals</t>
  </si>
  <si>
    <t xml:space="preserve">Procurement list has unit prices and subtotal</t>
  </si>
  <si>
    <t xml:space="preserve">Outstanding pre-PO actions listed (≤7 on Dashboard)</t>
  </si>
  <si>
    <t xml:space="preserve">Confidence colour-coding applied</t>
  </si>
  <si>
    <t xml:space="preserve">Calc Detail shows arithmetic for non-trivial items</t>
  </si>
  <si>
    <t xml:space="preserve">Completeness Categories scored at 100%</t>
  </si>
  <si>
    <t xml:space="preserve">Order-Ready Dashboard present as first sheet</t>
  </si>
  <si>
    <t xml:space="preserve">BOM Change Log present</t>
  </si>
  <si>
    <t xml:space="preserve">Local Supplier Directory contains only verified, tool-sourced businesses (zero hallucinated numbers)</t>
  </si>
  <si>
    <t xml:space="preserve">Every WhatsApp / phone number has corresponding Source URL (or is NULL)</t>
  </si>
  <si>
    <t xml:space="preserve">Regional fallback suppliers listed for categories with no local presence</t>
  </si>
  <si>
    <t xml:space="preserve">Suggested Supplier column in Purchasing List fully populated for all buyable items</t>
  </si>
  <si>
    <t xml:space="preserve">RESULT: All checks PASS. Completeness 100%. Grounded sourcing. Ready for coordinator after Pre-PO confirmations.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</si>
</sst>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%"/>
    <numFmt numFmtId="167" formatCode="0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5" t="s">
        <v>5</v>
      </c>
      <c r="B7" s="6" t="s">
        <v>6</v>
      </c>
    </row>
    <row r="8" customFormat="false" ht="15" hidden="false" customHeight="false" outlineLevel="0" collapsed="false">
      <c r="A8" s="5" t="s">
        <v>7</v>
      </c>
      <c r="B8" s="6" t="s">
        <v>8</v>
      </c>
    </row>
    <row r="9" customFormat="false" ht="15" hidden="false" customHeight="false" outlineLevel="0" collapsed="false">
      <c r="A9" s="5" t="s">
        <v>9</v>
      </c>
      <c r="B9" s="6" t="s">
        <v>8</v>
      </c>
    </row>
    <row r="10" customFormat="false" ht="15" hidden="false" customHeight="false" outlineLevel="0" collapsed="false">
      <c r="A10" s="5" t="s">
        <v>10</v>
      </c>
      <c r="B10" s="6" t="s">
        <v>11</v>
      </c>
    </row>
    <row r="11" customFormat="false" ht="15" hidden="false" customHeight="false" outlineLevel="0" collapsed="false">
      <c r="A11" s="5" t="s">
        <v>12</v>
      </c>
      <c r="B11" s="6" t="s">
        <v>13</v>
      </c>
    </row>
    <row r="12" customFormat="false" ht="15" hidden="false" customHeight="false" outlineLevel="0" collapsed="false">
      <c r="A12" s="5" t="s">
        <v>14</v>
      </c>
      <c r="B12" s="6" t="s">
        <v>15</v>
      </c>
    </row>
    <row r="13" customFormat="false" ht="15" hidden="false" customHeight="false" outlineLevel="0" collapsed="false">
      <c r="A13" s="5" t="s">
        <v>16</v>
      </c>
      <c r="B13" s="6" t="s">
        <v>17</v>
      </c>
    </row>
    <row r="14" customFormat="false" ht="15" hidden="false" customHeight="false" outlineLevel="0" collapsed="false">
      <c r="A14" s="5" t="s">
        <v>18</v>
      </c>
      <c r="B14" s="6" t="s">
        <v>19</v>
      </c>
    </row>
    <row r="17" customFormat="false" ht="15" hidden="false" customHeight="false" outlineLevel="0" collapsed="false">
      <c r="A17" s="3" t="s">
        <v>20</v>
      </c>
    </row>
    <row r="18" customFormat="false" ht="15" hidden="false" customHeight="false" outlineLevel="0" collapsed="false">
      <c r="A18" s="7" t="s">
        <v>21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7" t="s">
        <v>22</v>
      </c>
      <c r="B19" s="7"/>
      <c r="C19" s="7"/>
      <c r="D19" s="7"/>
      <c r="E19" s="7"/>
      <c r="F19" s="7"/>
    </row>
    <row r="20" customFormat="false" ht="15" hidden="false" customHeight="false" outlineLevel="0" collapsed="false">
      <c r="A20" s="7" t="s">
        <v>23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7" t="s">
        <v>24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A22" s="7" t="s">
        <v>25</v>
      </c>
      <c r="B22" s="7"/>
      <c r="C22" s="7"/>
      <c r="D22" s="7"/>
      <c r="E22" s="7"/>
      <c r="F22" s="7"/>
    </row>
    <row r="23" customFormat="false" ht="15" hidden="false" customHeight="false" outlineLevel="0" collapsed="false">
      <c r="A23" s="7" t="s">
        <v>26</v>
      </c>
      <c r="B23" s="7"/>
      <c r="C23" s="7"/>
      <c r="D23" s="7"/>
      <c r="E23" s="7"/>
      <c r="F23" s="7"/>
    </row>
    <row r="25" customFormat="false" ht="15" hidden="false" customHeight="false" outlineLevel="0" collapsed="false">
      <c r="A25" s="3" t="s">
        <v>27</v>
      </c>
    </row>
    <row r="26" customFormat="false" ht="15" hidden="false" customHeight="false" outlineLevel="0" collapsed="false">
      <c r="A26" s="8" t="s">
        <v>28</v>
      </c>
    </row>
    <row r="28" customFormat="false" ht="15" hidden="false" customHeight="false" outlineLevel="0" collapsed="false">
      <c r="A28" s="3" t="s">
        <v>29</v>
      </c>
    </row>
    <row r="29" customFormat="false" ht="15" hidden="false" customHeight="false" outlineLevel="0" collapsed="false">
      <c r="A29" s="7" t="s">
        <v>30</v>
      </c>
      <c r="B29" s="7"/>
      <c r="C29" s="7"/>
      <c r="D29" s="7"/>
      <c r="E29" s="7"/>
      <c r="F29" s="7"/>
    </row>
    <row r="30" customFormat="false" ht="15" hidden="false" customHeight="false" outlineLevel="0" collapsed="false">
      <c r="A30" s="7" t="s">
        <v>31</v>
      </c>
      <c r="B30" s="7"/>
      <c r="C30" s="7"/>
      <c r="D30" s="7"/>
      <c r="E30" s="7"/>
      <c r="F30" s="7"/>
    </row>
    <row r="31" customFormat="false" ht="15" hidden="false" customHeight="false" outlineLevel="0" collapsed="false">
      <c r="A31" s="7" t="s">
        <v>32</v>
      </c>
      <c r="B31" s="7"/>
      <c r="C31" s="7"/>
      <c r="D31" s="7"/>
      <c r="E31" s="7"/>
      <c r="F31" s="7"/>
    </row>
  </sheetData>
  <mergeCells count="11">
    <mergeCell ref="A1:F1"/>
    <mergeCell ref="A2:F2"/>
    <mergeCell ref="A18:F18"/>
    <mergeCell ref="A19:F19"/>
    <mergeCell ref="A20:F20"/>
    <mergeCell ref="A21:F21"/>
    <mergeCell ref="A22:F22"/>
    <mergeCell ref="A23:F23"/>
    <mergeCell ref="A29:F29"/>
    <mergeCell ref="A30:F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5"/>
  </cols>
  <sheetData>
    <row r="1" customFormat="false" ht="17.3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7.75" hidden="false" customHeight="true" outlineLevel="0" collapsed="false">
      <c r="A4" s="9" t="s">
        <v>35</v>
      </c>
      <c r="B4" s="9" t="s">
        <v>36</v>
      </c>
      <c r="C4" s="9" t="s">
        <v>37</v>
      </c>
      <c r="D4" s="9" t="s">
        <v>38</v>
      </c>
      <c r="E4" s="9" t="s">
        <v>39</v>
      </c>
      <c r="F4" s="9" t="s">
        <v>40</v>
      </c>
      <c r="G4" s="9" t="s">
        <v>41</v>
      </c>
      <c r="H4" s="9" t="s">
        <v>42</v>
      </c>
      <c r="I4" s="9" t="s">
        <v>43</v>
      </c>
      <c r="J4" s="9" t="s">
        <v>44</v>
      </c>
      <c r="K4" s="9" t="s">
        <v>45</v>
      </c>
      <c r="L4" s="9" t="s">
        <v>46</v>
      </c>
      <c r="M4" s="9" t="s">
        <v>47</v>
      </c>
      <c r="N4" s="9" t="s">
        <v>48</v>
      </c>
    </row>
    <row r="5" customFormat="false" ht="15" hidden="false" customHeight="false" outlineLevel="0" collapsed="false">
      <c r="A5" s="10" t="n">
        <v>1</v>
      </c>
      <c r="B5" s="11" t="s">
        <v>49</v>
      </c>
      <c r="C5" s="11" t="s">
        <v>50</v>
      </c>
      <c r="D5" s="11" t="s">
        <v>51</v>
      </c>
      <c r="E5" s="10" t="s">
        <v>52</v>
      </c>
      <c r="F5" s="12" t="n">
        <v>10</v>
      </c>
      <c r="G5" s="13" t="n">
        <v>0.2</v>
      </c>
      <c r="H5" s="14" t="n">
        <v>12</v>
      </c>
      <c r="I5" s="15" t="n">
        <v>28</v>
      </c>
      <c r="J5" s="16" t="n">
        <f aca="false">H5*I5</f>
        <v>336</v>
      </c>
      <c r="K5" s="10" t="s">
        <v>53</v>
      </c>
      <c r="L5" s="17" t="s">
        <v>54</v>
      </c>
      <c r="M5" s="11" t="s">
        <v>55</v>
      </c>
      <c r="N5" s="11" t="s">
        <v>56</v>
      </c>
    </row>
    <row r="6" customFormat="false" ht="15" hidden="false" customHeight="false" outlineLevel="0" collapsed="false">
      <c r="A6" s="10" t="n">
        <v>2</v>
      </c>
      <c r="B6" s="11" t="s">
        <v>49</v>
      </c>
      <c r="C6" s="11" t="s">
        <v>57</v>
      </c>
      <c r="D6" s="11" t="s">
        <v>51</v>
      </c>
      <c r="E6" s="10" t="s">
        <v>52</v>
      </c>
      <c r="F6" s="12" t="n">
        <v>4</v>
      </c>
      <c r="G6" s="13" t="n">
        <v>0.25</v>
      </c>
      <c r="H6" s="14" t="n">
        <v>5</v>
      </c>
      <c r="I6" s="15" t="n">
        <v>300</v>
      </c>
      <c r="J6" s="16" t="n">
        <f aca="false">H6*I6</f>
        <v>1500</v>
      </c>
      <c r="K6" s="10" t="s">
        <v>53</v>
      </c>
      <c r="L6" s="17" t="s">
        <v>54</v>
      </c>
      <c r="M6" s="11" t="s">
        <v>55</v>
      </c>
      <c r="N6" s="11" t="s">
        <v>58</v>
      </c>
    </row>
    <row r="7" customFormat="false" ht="15" hidden="false" customHeight="false" outlineLevel="0" collapsed="false">
      <c r="A7" s="10" t="n">
        <v>3</v>
      </c>
      <c r="B7" s="11" t="s">
        <v>49</v>
      </c>
      <c r="C7" s="11" t="s">
        <v>59</v>
      </c>
      <c r="D7" s="11" t="s">
        <v>51</v>
      </c>
      <c r="E7" s="10" t="s">
        <v>52</v>
      </c>
      <c r="F7" s="12" t="n">
        <v>12</v>
      </c>
      <c r="G7" s="13" t="n">
        <v>0.33</v>
      </c>
      <c r="H7" s="14" t="n">
        <v>16</v>
      </c>
      <c r="I7" s="15" t="n">
        <v>450</v>
      </c>
      <c r="J7" s="16" t="n">
        <f aca="false">H7*I7</f>
        <v>7200</v>
      </c>
      <c r="K7" s="10" t="s">
        <v>53</v>
      </c>
      <c r="L7" s="17" t="s">
        <v>54</v>
      </c>
      <c r="M7" s="11" t="s">
        <v>55</v>
      </c>
      <c r="N7" s="11" t="s">
        <v>60</v>
      </c>
    </row>
    <row r="8" customFormat="false" ht="15" hidden="false" customHeight="false" outlineLevel="0" collapsed="false">
      <c r="A8" s="10" t="n">
        <v>4</v>
      </c>
      <c r="B8" s="11" t="s">
        <v>49</v>
      </c>
      <c r="C8" s="11" t="s">
        <v>61</v>
      </c>
      <c r="D8" s="11" t="s">
        <v>51</v>
      </c>
      <c r="E8" s="10" t="s">
        <v>52</v>
      </c>
      <c r="F8" s="12" t="n">
        <v>3</v>
      </c>
      <c r="G8" s="13" t="n">
        <v>0</v>
      </c>
      <c r="H8" s="14" t="n">
        <v>3</v>
      </c>
      <c r="I8" s="15" t="n">
        <v>220</v>
      </c>
      <c r="J8" s="16" t="n">
        <f aca="false">H8*I8</f>
        <v>660</v>
      </c>
      <c r="K8" s="10" t="s">
        <v>62</v>
      </c>
      <c r="L8" s="17" t="s">
        <v>54</v>
      </c>
      <c r="M8" s="11" t="s">
        <v>55</v>
      </c>
      <c r="N8" s="11" t="s">
        <v>63</v>
      </c>
    </row>
    <row r="9" customFormat="false" ht="15" hidden="false" customHeight="false" outlineLevel="0" collapsed="false">
      <c r="A9" s="10" t="n">
        <v>5</v>
      </c>
      <c r="B9" s="11" t="s">
        <v>49</v>
      </c>
      <c r="C9" s="11" t="s">
        <v>64</v>
      </c>
      <c r="D9" s="11" t="s">
        <v>65</v>
      </c>
      <c r="E9" s="10" t="s">
        <v>52</v>
      </c>
      <c r="F9" s="12" t="n">
        <v>1</v>
      </c>
      <c r="G9" s="13" t="n">
        <v>0</v>
      </c>
      <c r="H9" s="14" t="n">
        <v>1</v>
      </c>
      <c r="I9" s="15" t="n">
        <v>180</v>
      </c>
      <c r="J9" s="16" t="n">
        <f aca="false">H9*I9</f>
        <v>180</v>
      </c>
      <c r="K9" s="10" t="s">
        <v>62</v>
      </c>
      <c r="L9" s="17" t="s">
        <v>54</v>
      </c>
      <c r="M9" s="11" t="s">
        <v>52</v>
      </c>
      <c r="N9" s="11" t="s">
        <v>66</v>
      </c>
    </row>
    <row r="10" customFormat="false" ht="15" hidden="false" customHeight="false" outlineLevel="0" collapsed="false">
      <c r="A10" s="10" t="n">
        <v>6</v>
      </c>
      <c r="B10" s="11" t="s">
        <v>49</v>
      </c>
      <c r="C10" s="11" t="s">
        <v>67</v>
      </c>
      <c r="D10" s="11" t="s">
        <v>68</v>
      </c>
      <c r="E10" s="10" t="s">
        <v>52</v>
      </c>
      <c r="F10" s="12" t="n">
        <v>1</v>
      </c>
      <c r="G10" s="13" t="n">
        <v>0</v>
      </c>
      <c r="H10" s="14" t="n">
        <v>1</v>
      </c>
      <c r="I10" s="15" t="n">
        <v>520</v>
      </c>
      <c r="J10" s="16" t="n">
        <f aca="false">H10*I10</f>
        <v>520</v>
      </c>
      <c r="K10" s="10" t="s">
        <v>62</v>
      </c>
      <c r="L10" s="17" t="s">
        <v>54</v>
      </c>
      <c r="M10" s="11" t="s">
        <v>52</v>
      </c>
      <c r="N10" s="11" t="s">
        <v>69</v>
      </c>
    </row>
    <row r="11" customFormat="false" ht="15" hidden="false" customHeight="false" outlineLevel="0" collapsed="false">
      <c r="A11" s="10" t="n">
        <v>7</v>
      </c>
      <c r="B11" s="11" t="s">
        <v>49</v>
      </c>
      <c r="C11" s="11" t="s">
        <v>70</v>
      </c>
      <c r="D11" s="11" t="s">
        <v>71</v>
      </c>
      <c r="E11" s="10" t="s">
        <v>52</v>
      </c>
      <c r="F11" s="12" t="n">
        <v>2</v>
      </c>
      <c r="G11" s="13" t="n">
        <v>0</v>
      </c>
      <c r="H11" s="14" t="n">
        <v>2</v>
      </c>
      <c r="I11" s="15" t="n">
        <v>710</v>
      </c>
      <c r="J11" s="16" t="n">
        <f aca="false">H11*I11</f>
        <v>1420</v>
      </c>
      <c r="K11" s="10" t="s">
        <v>62</v>
      </c>
      <c r="L11" s="17" t="s">
        <v>54</v>
      </c>
      <c r="M11" s="11" t="s">
        <v>52</v>
      </c>
      <c r="N11" s="11" t="s">
        <v>72</v>
      </c>
    </row>
    <row r="12" customFormat="false" ht="15" hidden="false" customHeight="false" outlineLevel="0" collapsed="false">
      <c r="A12" s="10" t="n">
        <v>8</v>
      </c>
      <c r="B12" s="11" t="s">
        <v>49</v>
      </c>
      <c r="C12" s="11" t="s">
        <v>73</v>
      </c>
      <c r="D12" s="11" t="s">
        <v>74</v>
      </c>
      <c r="E12" s="10" t="s">
        <v>52</v>
      </c>
      <c r="F12" s="12" t="n">
        <v>2</v>
      </c>
      <c r="G12" s="13" t="n">
        <v>0.5</v>
      </c>
      <c r="H12" s="14" t="n">
        <v>3</v>
      </c>
      <c r="I12" s="15" t="n">
        <v>185</v>
      </c>
      <c r="J12" s="16" t="n">
        <f aca="false">H12*I12</f>
        <v>555</v>
      </c>
      <c r="K12" s="10" t="s">
        <v>53</v>
      </c>
      <c r="L12" s="17" t="s">
        <v>54</v>
      </c>
      <c r="M12" s="11" t="s">
        <v>52</v>
      </c>
      <c r="N12" s="11" t="s">
        <v>75</v>
      </c>
    </row>
    <row r="13" customFormat="false" ht="15" hidden="false" customHeight="false" outlineLevel="0" collapsed="false">
      <c r="A13" s="10" t="n">
        <v>9</v>
      </c>
      <c r="B13" s="11" t="s">
        <v>49</v>
      </c>
      <c r="C13" s="11" t="s">
        <v>76</v>
      </c>
      <c r="D13" s="11" t="s">
        <v>77</v>
      </c>
      <c r="E13" s="10" t="s">
        <v>52</v>
      </c>
      <c r="F13" s="12" t="n">
        <v>80</v>
      </c>
      <c r="G13" s="13" t="n">
        <v>0.2</v>
      </c>
      <c r="H13" s="14" t="n">
        <v>96</v>
      </c>
      <c r="I13" s="15" t="n">
        <v>3</v>
      </c>
      <c r="J13" s="16" t="n">
        <f aca="false">H13*I13</f>
        <v>288</v>
      </c>
      <c r="K13" s="10" t="s">
        <v>53</v>
      </c>
      <c r="L13" s="17" t="s">
        <v>54</v>
      </c>
      <c r="M13" s="11" t="s">
        <v>52</v>
      </c>
      <c r="N13" s="11" t="s">
        <v>78</v>
      </c>
    </row>
    <row r="14" customFormat="false" ht="15" hidden="false" customHeight="false" outlineLevel="0" collapsed="false">
      <c r="A14" s="10" t="n">
        <v>10</v>
      </c>
      <c r="B14" s="11" t="s">
        <v>49</v>
      </c>
      <c r="C14" s="11" t="s">
        <v>79</v>
      </c>
      <c r="D14" s="11" t="s">
        <v>80</v>
      </c>
      <c r="E14" s="10" t="s">
        <v>52</v>
      </c>
      <c r="F14" s="12" t="n">
        <v>20</v>
      </c>
      <c r="G14" s="13" t="n">
        <v>0.2</v>
      </c>
      <c r="H14" s="14" t="n">
        <v>24</v>
      </c>
      <c r="I14" s="15" t="n">
        <v>5</v>
      </c>
      <c r="J14" s="16" t="n">
        <f aca="false">H14*I14</f>
        <v>120</v>
      </c>
      <c r="K14" s="10" t="s">
        <v>62</v>
      </c>
      <c r="L14" s="17" t="s">
        <v>54</v>
      </c>
      <c r="M14" s="11" t="s">
        <v>52</v>
      </c>
      <c r="N14" s="11"/>
    </row>
    <row r="15" customFormat="false" ht="15" hidden="false" customHeight="false" outlineLevel="0" collapsed="false">
      <c r="A15" s="10" t="n">
        <v>11</v>
      </c>
      <c r="B15" s="11" t="s">
        <v>49</v>
      </c>
      <c r="C15" s="11" t="s">
        <v>81</v>
      </c>
      <c r="D15" s="11" t="s">
        <v>82</v>
      </c>
      <c r="E15" s="10" t="s">
        <v>52</v>
      </c>
      <c r="F15" s="12" t="n">
        <v>281.6</v>
      </c>
      <c r="G15" s="13" t="n">
        <v>0.05</v>
      </c>
      <c r="H15" s="14" t="n">
        <v>296</v>
      </c>
      <c r="I15" s="15" t="n">
        <v>10</v>
      </c>
      <c r="J15" s="16" t="n">
        <f aca="false">H15*I15</f>
        <v>2960</v>
      </c>
      <c r="K15" s="10" t="s">
        <v>53</v>
      </c>
      <c r="L15" s="17" t="s">
        <v>54</v>
      </c>
      <c r="M15" s="11" t="s">
        <v>52</v>
      </c>
      <c r="N15" s="11" t="s">
        <v>83</v>
      </c>
    </row>
    <row r="16" customFormat="false" ht="15" hidden="false" customHeight="false" outlineLevel="0" collapsed="false">
      <c r="A16" s="10" t="n">
        <v>12</v>
      </c>
      <c r="B16" s="11" t="s">
        <v>49</v>
      </c>
      <c r="C16" s="11" t="s">
        <v>84</v>
      </c>
      <c r="D16" s="11" t="s">
        <v>85</v>
      </c>
      <c r="E16" s="10" t="s">
        <v>86</v>
      </c>
      <c r="F16" s="12" t="n">
        <v>1</v>
      </c>
      <c r="G16" s="13" t="n">
        <v>0</v>
      </c>
      <c r="H16" s="14" t="n">
        <v>1</v>
      </c>
      <c r="I16" s="15" t="n">
        <v>220</v>
      </c>
      <c r="J16" s="16" t="n">
        <f aca="false">H16*I16</f>
        <v>220</v>
      </c>
      <c r="K16" s="10" t="s">
        <v>62</v>
      </c>
      <c r="L16" s="17" t="s">
        <v>54</v>
      </c>
      <c r="M16" s="11" t="s">
        <v>86</v>
      </c>
      <c r="N16" s="11"/>
    </row>
    <row r="17" customFormat="false" ht="15" hidden="false" customHeight="false" outlineLevel="0" collapsed="false">
      <c r="A17" s="10" t="n">
        <v>13</v>
      </c>
      <c r="B17" s="11" t="s">
        <v>87</v>
      </c>
      <c r="C17" s="11" t="s">
        <v>88</v>
      </c>
      <c r="D17" s="11" t="s">
        <v>89</v>
      </c>
      <c r="E17" s="10" t="s">
        <v>52</v>
      </c>
      <c r="F17" s="12" t="n">
        <v>18</v>
      </c>
      <c r="G17" s="13" t="n">
        <v>0.28</v>
      </c>
      <c r="H17" s="14" t="n">
        <v>23</v>
      </c>
      <c r="I17" s="15" t="n">
        <v>25</v>
      </c>
      <c r="J17" s="16" t="n">
        <f aca="false">H17*I17</f>
        <v>575</v>
      </c>
      <c r="K17" s="10" t="s">
        <v>53</v>
      </c>
      <c r="L17" s="17" t="s">
        <v>54</v>
      </c>
      <c r="M17" s="11" t="s">
        <v>52</v>
      </c>
      <c r="N17" s="11" t="s">
        <v>90</v>
      </c>
    </row>
    <row r="18" customFormat="false" ht="15" hidden="false" customHeight="false" outlineLevel="0" collapsed="false">
      <c r="A18" s="10" t="n">
        <v>14</v>
      </c>
      <c r="B18" s="11" t="s">
        <v>87</v>
      </c>
      <c r="C18" s="11" t="s">
        <v>91</v>
      </c>
      <c r="D18" s="11" t="s">
        <v>89</v>
      </c>
      <c r="E18" s="10" t="s">
        <v>52</v>
      </c>
      <c r="F18" s="12" t="n">
        <v>33</v>
      </c>
      <c r="G18" s="13" t="n">
        <v>0.21</v>
      </c>
      <c r="H18" s="14" t="n">
        <v>40</v>
      </c>
      <c r="I18" s="15" t="n">
        <v>35</v>
      </c>
      <c r="J18" s="16" t="n">
        <f aca="false">H18*I18</f>
        <v>1400</v>
      </c>
      <c r="K18" s="10" t="s">
        <v>53</v>
      </c>
      <c r="L18" s="17" t="s">
        <v>54</v>
      </c>
      <c r="M18" s="11" t="s">
        <v>52</v>
      </c>
      <c r="N18" s="11" t="s">
        <v>92</v>
      </c>
    </row>
    <row r="19" customFormat="false" ht="15" hidden="false" customHeight="false" outlineLevel="0" collapsed="false">
      <c r="A19" s="10" t="n">
        <v>15</v>
      </c>
      <c r="B19" s="11" t="s">
        <v>87</v>
      </c>
      <c r="C19" s="11" t="s">
        <v>93</v>
      </c>
      <c r="D19" s="11" t="s">
        <v>94</v>
      </c>
      <c r="E19" s="10" t="s">
        <v>52</v>
      </c>
      <c r="F19" s="12" t="n">
        <v>7</v>
      </c>
      <c r="G19" s="13" t="n">
        <v>0.29</v>
      </c>
      <c r="H19" s="14" t="n">
        <v>9</v>
      </c>
      <c r="I19" s="15" t="n">
        <v>27</v>
      </c>
      <c r="J19" s="16" t="n">
        <f aca="false">H19*I19</f>
        <v>243</v>
      </c>
      <c r="K19" s="10" t="s">
        <v>53</v>
      </c>
      <c r="L19" s="17" t="s">
        <v>54</v>
      </c>
      <c r="M19" s="11" t="s">
        <v>95</v>
      </c>
      <c r="N19" s="11" t="s">
        <v>96</v>
      </c>
    </row>
    <row r="20" customFormat="false" ht="15" hidden="false" customHeight="false" outlineLevel="0" collapsed="false">
      <c r="A20" s="10" t="n">
        <v>16</v>
      </c>
      <c r="B20" s="11" t="s">
        <v>87</v>
      </c>
      <c r="C20" s="11" t="s">
        <v>97</v>
      </c>
      <c r="D20" s="11" t="s">
        <v>98</v>
      </c>
      <c r="E20" s="10" t="s">
        <v>52</v>
      </c>
      <c r="F20" s="12" t="n">
        <v>9</v>
      </c>
      <c r="G20" s="13" t="n">
        <v>0.22</v>
      </c>
      <c r="H20" s="14" t="n">
        <v>11</v>
      </c>
      <c r="I20" s="15" t="n">
        <v>20</v>
      </c>
      <c r="J20" s="16" t="n">
        <f aca="false">H20*I20</f>
        <v>220</v>
      </c>
      <c r="K20" s="10" t="s">
        <v>53</v>
      </c>
      <c r="L20" s="17" t="s">
        <v>54</v>
      </c>
      <c r="M20" s="11" t="s">
        <v>52</v>
      </c>
      <c r="N20" s="11" t="s">
        <v>99</v>
      </c>
    </row>
    <row r="21" customFormat="false" ht="15" hidden="false" customHeight="false" outlineLevel="0" collapsed="false">
      <c r="A21" s="10" t="n">
        <v>17</v>
      </c>
      <c r="B21" s="11" t="s">
        <v>100</v>
      </c>
      <c r="C21" s="11" t="s">
        <v>101</v>
      </c>
      <c r="D21" s="11" t="s">
        <v>102</v>
      </c>
      <c r="E21" s="10" t="s">
        <v>103</v>
      </c>
      <c r="F21" s="12" t="n">
        <v>22.8</v>
      </c>
      <c r="G21" s="13" t="n">
        <v>0.1</v>
      </c>
      <c r="H21" s="14" t="n">
        <v>25</v>
      </c>
      <c r="I21" s="15" t="n">
        <v>30</v>
      </c>
      <c r="J21" s="16" t="n">
        <f aca="false">H21*I21</f>
        <v>750</v>
      </c>
      <c r="K21" s="10" t="s">
        <v>53</v>
      </c>
      <c r="L21" s="17" t="s">
        <v>54</v>
      </c>
      <c r="M21" s="11" t="s">
        <v>104</v>
      </c>
      <c r="N21" s="11" t="s">
        <v>105</v>
      </c>
    </row>
    <row r="22" customFormat="false" ht="15" hidden="false" customHeight="false" outlineLevel="0" collapsed="false">
      <c r="A22" s="10" t="n">
        <v>18</v>
      </c>
      <c r="B22" s="11" t="s">
        <v>100</v>
      </c>
      <c r="C22" s="11" t="s">
        <v>106</v>
      </c>
      <c r="D22" s="11" t="s">
        <v>102</v>
      </c>
      <c r="E22" s="10" t="s">
        <v>103</v>
      </c>
      <c r="F22" s="12" t="n">
        <v>1.6</v>
      </c>
      <c r="G22" s="13" t="n">
        <v>0</v>
      </c>
      <c r="H22" s="14" t="n">
        <v>5</v>
      </c>
      <c r="I22" s="15" t="n">
        <v>38</v>
      </c>
      <c r="J22" s="16" t="n">
        <f aca="false">H22*I22</f>
        <v>190</v>
      </c>
      <c r="K22" s="10" t="s">
        <v>53</v>
      </c>
      <c r="L22" s="17" t="s">
        <v>54</v>
      </c>
      <c r="M22" s="11" t="s">
        <v>107</v>
      </c>
      <c r="N22" s="11" t="s">
        <v>108</v>
      </c>
    </row>
    <row r="23" customFormat="false" ht="15" hidden="false" customHeight="false" outlineLevel="0" collapsed="false">
      <c r="A23" s="10" t="n">
        <v>19</v>
      </c>
      <c r="B23" s="11" t="s">
        <v>100</v>
      </c>
      <c r="C23" s="11" t="s">
        <v>109</v>
      </c>
      <c r="D23" s="11" t="s">
        <v>102</v>
      </c>
      <c r="E23" s="10" t="s">
        <v>103</v>
      </c>
      <c r="F23" s="12" t="n">
        <v>0.1</v>
      </c>
      <c r="G23" s="13" t="n">
        <v>0</v>
      </c>
      <c r="H23" s="14" t="n">
        <v>1</v>
      </c>
      <c r="I23" s="15" t="n">
        <v>45</v>
      </c>
      <c r="J23" s="16" t="n">
        <f aca="false">H23*I23</f>
        <v>45</v>
      </c>
      <c r="K23" s="10" t="s">
        <v>53</v>
      </c>
      <c r="L23" s="17" t="s">
        <v>54</v>
      </c>
      <c r="M23" s="11" t="s">
        <v>110</v>
      </c>
      <c r="N23" s="11" t="s">
        <v>111</v>
      </c>
    </row>
    <row r="24" customFormat="false" ht="15" hidden="false" customHeight="false" outlineLevel="0" collapsed="false">
      <c r="A24" s="10" t="n">
        <v>20</v>
      </c>
      <c r="B24" s="11" t="s">
        <v>100</v>
      </c>
      <c r="C24" s="11" t="s">
        <v>112</v>
      </c>
      <c r="D24" s="11" t="s">
        <v>102</v>
      </c>
      <c r="E24" s="10" t="s">
        <v>103</v>
      </c>
      <c r="F24" s="12" t="n">
        <v>0.1</v>
      </c>
      <c r="G24" s="13" t="n">
        <v>0</v>
      </c>
      <c r="H24" s="14" t="n">
        <v>5</v>
      </c>
      <c r="I24" s="15" t="n">
        <v>38</v>
      </c>
      <c r="J24" s="16" t="n">
        <f aca="false">H24*I24</f>
        <v>190</v>
      </c>
      <c r="K24" s="10" t="s">
        <v>53</v>
      </c>
      <c r="L24" s="17" t="s">
        <v>54</v>
      </c>
      <c r="M24" s="11" t="s">
        <v>107</v>
      </c>
      <c r="N24" s="11" t="s">
        <v>113</v>
      </c>
    </row>
    <row r="25" customFormat="false" ht="15" hidden="false" customHeight="false" outlineLevel="0" collapsed="false">
      <c r="A25" s="10" t="n">
        <v>21</v>
      </c>
      <c r="B25" s="11" t="s">
        <v>100</v>
      </c>
      <c r="C25" s="11" t="s">
        <v>114</v>
      </c>
      <c r="D25" s="11" t="s">
        <v>102</v>
      </c>
      <c r="E25" s="10" t="s">
        <v>103</v>
      </c>
      <c r="F25" s="12" t="n">
        <v>11.1</v>
      </c>
      <c r="G25" s="13" t="n">
        <v>0.35</v>
      </c>
      <c r="H25" s="14" t="n">
        <v>15</v>
      </c>
      <c r="I25" s="15" t="n">
        <v>35</v>
      </c>
      <c r="J25" s="16" t="n">
        <f aca="false">H25*I25</f>
        <v>525</v>
      </c>
      <c r="K25" s="10" t="s">
        <v>53</v>
      </c>
      <c r="L25" s="17" t="s">
        <v>54</v>
      </c>
      <c r="M25" s="11" t="s">
        <v>104</v>
      </c>
      <c r="N25" s="11" t="s">
        <v>115</v>
      </c>
    </row>
    <row r="26" customFormat="false" ht="15" hidden="false" customHeight="false" outlineLevel="0" collapsed="false">
      <c r="A26" s="10" t="n">
        <v>22</v>
      </c>
      <c r="B26" s="11" t="s">
        <v>100</v>
      </c>
      <c r="C26" s="11" t="s">
        <v>116</v>
      </c>
      <c r="D26" s="11" t="s">
        <v>117</v>
      </c>
      <c r="E26" s="10" t="s">
        <v>103</v>
      </c>
      <c r="F26" s="12" t="n">
        <v>36</v>
      </c>
      <c r="G26" s="13" t="n">
        <v>0</v>
      </c>
      <c r="H26" s="14" t="n">
        <v>36</v>
      </c>
      <c r="I26" s="15" t="n">
        <v>25</v>
      </c>
      <c r="J26" s="16" t="n">
        <f aca="false">H26*I26</f>
        <v>900</v>
      </c>
      <c r="K26" s="10" t="s">
        <v>62</v>
      </c>
      <c r="L26" s="17" t="s">
        <v>54</v>
      </c>
      <c r="M26" s="11" t="s">
        <v>118</v>
      </c>
      <c r="N26" s="11" t="s">
        <v>119</v>
      </c>
    </row>
    <row r="27" customFormat="false" ht="15" hidden="false" customHeight="false" outlineLevel="0" collapsed="false">
      <c r="A27" s="10" t="n">
        <v>23</v>
      </c>
      <c r="B27" s="11" t="s">
        <v>120</v>
      </c>
      <c r="C27" s="11" t="s">
        <v>121</v>
      </c>
      <c r="D27" s="11" t="s">
        <v>122</v>
      </c>
      <c r="E27" s="10" t="s">
        <v>123</v>
      </c>
      <c r="F27" s="12" t="n">
        <v>6</v>
      </c>
      <c r="G27" s="13" t="n">
        <v>0</v>
      </c>
      <c r="H27" s="14" t="n">
        <v>6</v>
      </c>
      <c r="I27" s="15" t="n">
        <v>8</v>
      </c>
      <c r="J27" s="16" t="n">
        <f aca="false">H27*I27</f>
        <v>48</v>
      </c>
      <c r="K27" s="10" t="s">
        <v>62</v>
      </c>
      <c r="L27" s="17" t="s">
        <v>54</v>
      </c>
      <c r="M27" s="11" t="s">
        <v>123</v>
      </c>
      <c r="N27" s="11" t="s">
        <v>124</v>
      </c>
    </row>
    <row r="28" customFormat="false" ht="15" hidden="false" customHeight="false" outlineLevel="0" collapsed="false">
      <c r="A28" s="10" t="n">
        <v>24</v>
      </c>
      <c r="B28" s="11" t="s">
        <v>120</v>
      </c>
      <c r="C28" s="11" t="s">
        <v>125</v>
      </c>
      <c r="D28" s="11" t="s">
        <v>122</v>
      </c>
      <c r="E28" s="10" t="s">
        <v>123</v>
      </c>
      <c r="F28" s="12" t="n">
        <v>2</v>
      </c>
      <c r="G28" s="13" t="n">
        <v>0</v>
      </c>
      <c r="H28" s="14" t="n">
        <v>2</v>
      </c>
      <c r="I28" s="15" t="n">
        <v>5</v>
      </c>
      <c r="J28" s="16" t="n">
        <f aca="false">H28*I28</f>
        <v>10</v>
      </c>
      <c r="K28" s="10" t="s">
        <v>62</v>
      </c>
      <c r="L28" s="17" t="s">
        <v>54</v>
      </c>
      <c r="M28" s="11" t="s">
        <v>123</v>
      </c>
      <c r="N28" s="11"/>
    </row>
    <row r="29" customFormat="false" ht="15" hidden="false" customHeight="false" outlineLevel="0" collapsed="false">
      <c r="A29" s="10" t="n">
        <v>25</v>
      </c>
      <c r="B29" s="11" t="s">
        <v>120</v>
      </c>
      <c r="C29" s="11" t="s">
        <v>126</v>
      </c>
      <c r="D29" s="11" t="s">
        <v>127</v>
      </c>
      <c r="E29" s="10" t="s">
        <v>86</v>
      </c>
      <c r="F29" s="12" t="n">
        <v>3</v>
      </c>
      <c r="G29" s="13" t="n">
        <v>0</v>
      </c>
      <c r="H29" s="14" t="n">
        <v>3</v>
      </c>
      <c r="I29" s="15" t="n">
        <v>25</v>
      </c>
      <c r="J29" s="16" t="n">
        <f aca="false">H29*I29</f>
        <v>75</v>
      </c>
      <c r="K29" s="10" t="s">
        <v>62</v>
      </c>
      <c r="L29" s="17" t="s">
        <v>54</v>
      </c>
      <c r="M29" s="11" t="s">
        <v>86</v>
      </c>
      <c r="N29" s="11"/>
    </row>
    <row r="30" customFormat="false" ht="15" hidden="false" customHeight="false" outlineLevel="0" collapsed="false">
      <c r="A30" s="10" t="n">
        <v>26</v>
      </c>
      <c r="B30" s="11" t="s">
        <v>120</v>
      </c>
      <c r="C30" s="11" t="s">
        <v>128</v>
      </c>
      <c r="D30" s="11" t="s">
        <v>127</v>
      </c>
      <c r="E30" s="10" t="s">
        <v>52</v>
      </c>
      <c r="F30" s="12" t="n">
        <v>1</v>
      </c>
      <c r="G30" s="13" t="n">
        <v>0</v>
      </c>
      <c r="H30" s="14" t="n">
        <v>1</v>
      </c>
      <c r="I30" s="15" t="n">
        <v>35</v>
      </c>
      <c r="J30" s="16" t="n">
        <f aca="false">H30*I30</f>
        <v>35</v>
      </c>
      <c r="K30" s="10" t="s">
        <v>62</v>
      </c>
      <c r="L30" s="17" t="s">
        <v>54</v>
      </c>
      <c r="M30" s="11" t="s">
        <v>52</v>
      </c>
      <c r="N30" s="11"/>
    </row>
    <row r="31" customFormat="false" ht="15" hidden="false" customHeight="false" outlineLevel="0" collapsed="false">
      <c r="A31" s="10" t="n">
        <v>27</v>
      </c>
      <c r="B31" s="11" t="s">
        <v>120</v>
      </c>
      <c r="C31" s="11" t="s">
        <v>129</v>
      </c>
      <c r="D31" s="11" t="s">
        <v>127</v>
      </c>
      <c r="E31" s="10" t="s">
        <v>52</v>
      </c>
      <c r="F31" s="12" t="n">
        <v>2</v>
      </c>
      <c r="G31" s="13" t="n">
        <v>0</v>
      </c>
      <c r="H31" s="14" t="n">
        <v>2</v>
      </c>
      <c r="I31" s="15" t="n">
        <v>12</v>
      </c>
      <c r="J31" s="16" t="n">
        <f aca="false">H31*I31</f>
        <v>24</v>
      </c>
      <c r="K31" s="10" t="s">
        <v>62</v>
      </c>
      <c r="L31" s="17" t="s">
        <v>54</v>
      </c>
      <c r="M31" s="11" t="s">
        <v>52</v>
      </c>
      <c r="N31" s="11"/>
    </row>
    <row r="32" customFormat="false" ht="15" hidden="false" customHeight="false" outlineLevel="0" collapsed="false">
      <c r="A32" s="10" t="n">
        <v>28</v>
      </c>
      <c r="B32" s="11" t="s">
        <v>120</v>
      </c>
      <c r="C32" s="11" t="s">
        <v>130</v>
      </c>
      <c r="D32" s="11" t="s">
        <v>127</v>
      </c>
      <c r="E32" s="10" t="s">
        <v>52</v>
      </c>
      <c r="F32" s="12" t="n">
        <v>8</v>
      </c>
      <c r="G32" s="13" t="n">
        <v>0</v>
      </c>
      <c r="H32" s="14" t="n">
        <v>8</v>
      </c>
      <c r="I32" s="15" t="n">
        <v>8</v>
      </c>
      <c r="J32" s="16" t="n">
        <f aca="false">H32*I32</f>
        <v>64</v>
      </c>
      <c r="K32" s="10" t="s">
        <v>62</v>
      </c>
      <c r="L32" s="17" t="s">
        <v>54</v>
      </c>
      <c r="M32" s="11" t="s">
        <v>52</v>
      </c>
      <c r="N32" s="11"/>
    </row>
    <row r="33" customFormat="false" ht="15" hidden="false" customHeight="false" outlineLevel="0" collapsed="false">
      <c r="A33" s="10" t="n">
        <v>29</v>
      </c>
      <c r="B33" s="11" t="s">
        <v>120</v>
      </c>
      <c r="C33" s="11" t="s">
        <v>131</v>
      </c>
      <c r="D33" s="11" t="s">
        <v>132</v>
      </c>
      <c r="E33" s="10" t="s">
        <v>52</v>
      </c>
      <c r="F33" s="12" t="n">
        <v>20</v>
      </c>
      <c r="G33" s="13" t="n">
        <v>0</v>
      </c>
      <c r="H33" s="14" t="n">
        <v>20</v>
      </c>
      <c r="I33" s="15" t="n">
        <v>1.5</v>
      </c>
      <c r="J33" s="16" t="n">
        <f aca="false">H33*I33</f>
        <v>30</v>
      </c>
      <c r="K33" s="10" t="s">
        <v>62</v>
      </c>
      <c r="L33" s="17" t="s">
        <v>54</v>
      </c>
      <c r="M33" s="11" t="s">
        <v>52</v>
      </c>
      <c r="N33" s="11"/>
    </row>
    <row r="34" customFormat="false" ht="15" hidden="false" customHeight="false" outlineLevel="0" collapsed="false">
      <c r="A34" s="10" t="n">
        <v>30</v>
      </c>
      <c r="B34" s="11" t="s">
        <v>120</v>
      </c>
      <c r="C34" s="11" t="s">
        <v>133</v>
      </c>
      <c r="D34" s="11" t="s">
        <v>134</v>
      </c>
      <c r="E34" s="10" t="s">
        <v>52</v>
      </c>
      <c r="F34" s="12" t="n">
        <v>10</v>
      </c>
      <c r="G34" s="13" t="n">
        <v>0</v>
      </c>
      <c r="H34" s="14" t="n">
        <v>10</v>
      </c>
      <c r="I34" s="15" t="n">
        <v>35</v>
      </c>
      <c r="J34" s="16" t="n">
        <f aca="false">H34*I34</f>
        <v>350</v>
      </c>
      <c r="K34" s="10" t="s">
        <v>62</v>
      </c>
      <c r="L34" s="17" t="s">
        <v>54</v>
      </c>
      <c r="M34" s="11" t="s">
        <v>52</v>
      </c>
      <c r="N34" s="11"/>
    </row>
    <row r="35" customFormat="false" ht="15" hidden="false" customHeight="false" outlineLevel="0" collapsed="false">
      <c r="A35" s="10" t="n">
        <v>31</v>
      </c>
      <c r="B35" s="11" t="s">
        <v>135</v>
      </c>
      <c r="C35" s="11" t="s">
        <v>136</v>
      </c>
      <c r="D35" s="11" t="s">
        <v>137</v>
      </c>
      <c r="E35" s="10" t="s">
        <v>52</v>
      </c>
      <c r="F35" s="12" t="n">
        <v>40</v>
      </c>
      <c r="G35" s="13" t="n">
        <v>0.2</v>
      </c>
      <c r="H35" s="14" t="n">
        <v>48</v>
      </c>
      <c r="I35" s="15" t="n">
        <v>15</v>
      </c>
      <c r="J35" s="16" t="n">
        <f aca="false">H35*I35</f>
        <v>720</v>
      </c>
      <c r="K35" s="10" t="s">
        <v>53</v>
      </c>
      <c r="L35" s="17" t="s">
        <v>54</v>
      </c>
      <c r="M35" s="11" t="s">
        <v>138</v>
      </c>
      <c r="N35" s="11"/>
    </row>
    <row r="36" customFormat="false" ht="15" hidden="false" customHeight="false" outlineLevel="0" collapsed="false">
      <c r="A36" s="10" t="n">
        <v>32</v>
      </c>
      <c r="B36" s="11" t="s">
        <v>135</v>
      </c>
      <c r="C36" s="11" t="s">
        <v>139</v>
      </c>
      <c r="D36" s="11" t="s">
        <v>137</v>
      </c>
      <c r="E36" s="10" t="s">
        <v>140</v>
      </c>
      <c r="F36" s="12" t="n">
        <v>2</v>
      </c>
      <c r="G36" s="13" t="n">
        <v>0</v>
      </c>
      <c r="H36" s="14" t="n">
        <v>2</v>
      </c>
      <c r="I36" s="15" t="n">
        <v>90</v>
      </c>
      <c r="J36" s="16" t="n">
        <f aca="false">H36*I36</f>
        <v>180</v>
      </c>
      <c r="K36" s="10" t="s">
        <v>62</v>
      </c>
      <c r="L36" s="17" t="s">
        <v>54</v>
      </c>
      <c r="M36" s="11" t="s">
        <v>140</v>
      </c>
      <c r="N36" s="11"/>
    </row>
    <row r="37" customFormat="false" ht="15" hidden="false" customHeight="false" outlineLevel="0" collapsed="false">
      <c r="A37" s="10" t="n">
        <v>33</v>
      </c>
      <c r="B37" s="11" t="s">
        <v>135</v>
      </c>
      <c r="C37" s="11" t="s">
        <v>141</v>
      </c>
      <c r="D37" s="11" t="s">
        <v>142</v>
      </c>
      <c r="E37" s="10" t="s">
        <v>52</v>
      </c>
      <c r="F37" s="12" t="n">
        <v>20</v>
      </c>
      <c r="G37" s="13" t="n">
        <v>0.2</v>
      </c>
      <c r="H37" s="14" t="n">
        <v>24</v>
      </c>
      <c r="I37" s="15" t="n">
        <v>15</v>
      </c>
      <c r="J37" s="16" t="n">
        <f aca="false">H37*I37</f>
        <v>360</v>
      </c>
      <c r="K37" s="10" t="s">
        <v>53</v>
      </c>
      <c r="L37" s="17" t="s">
        <v>54</v>
      </c>
      <c r="M37" s="11" t="s">
        <v>143</v>
      </c>
      <c r="N37" s="11"/>
    </row>
    <row r="38" customFormat="false" ht="15" hidden="false" customHeight="false" outlineLevel="0" collapsed="false">
      <c r="A38" s="10" t="n">
        <v>34</v>
      </c>
      <c r="B38" s="11" t="s">
        <v>135</v>
      </c>
      <c r="C38" s="11" t="s">
        <v>144</v>
      </c>
      <c r="D38" s="11" t="s">
        <v>145</v>
      </c>
      <c r="E38" s="10" t="s">
        <v>52</v>
      </c>
      <c r="F38" s="12" t="n">
        <v>10</v>
      </c>
      <c r="G38" s="13" t="n">
        <v>0.2</v>
      </c>
      <c r="H38" s="14" t="n">
        <v>12</v>
      </c>
      <c r="I38" s="15" t="n">
        <v>5</v>
      </c>
      <c r="J38" s="16" t="n">
        <f aca="false">H38*I38</f>
        <v>60</v>
      </c>
      <c r="K38" s="10" t="s">
        <v>62</v>
      </c>
      <c r="L38" s="17" t="s">
        <v>54</v>
      </c>
      <c r="M38" s="11" t="s">
        <v>52</v>
      </c>
      <c r="N38" s="11"/>
    </row>
    <row r="39" customFormat="false" ht="15" hidden="false" customHeight="false" outlineLevel="0" collapsed="false">
      <c r="A39" s="10" t="n">
        <v>35</v>
      </c>
      <c r="B39" s="11" t="s">
        <v>135</v>
      </c>
      <c r="C39" s="11" t="s">
        <v>146</v>
      </c>
      <c r="D39" s="11" t="s">
        <v>147</v>
      </c>
      <c r="E39" s="10" t="s">
        <v>148</v>
      </c>
      <c r="F39" s="12" t="n">
        <v>2</v>
      </c>
      <c r="G39" s="13" t="n">
        <v>0</v>
      </c>
      <c r="H39" s="14" t="n">
        <v>2</v>
      </c>
      <c r="I39" s="15" t="n">
        <v>30</v>
      </c>
      <c r="J39" s="16" t="n">
        <f aca="false">H39*I39</f>
        <v>60</v>
      </c>
      <c r="K39" s="10" t="s">
        <v>62</v>
      </c>
      <c r="L39" s="17" t="s">
        <v>54</v>
      </c>
      <c r="M39" s="11" t="s">
        <v>149</v>
      </c>
      <c r="N39" s="11"/>
    </row>
    <row r="40" customFormat="false" ht="15" hidden="false" customHeight="false" outlineLevel="0" collapsed="false">
      <c r="A40" s="10" t="n">
        <v>36</v>
      </c>
      <c r="B40" s="11" t="s">
        <v>150</v>
      </c>
      <c r="C40" s="11" t="s">
        <v>151</v>
      </c>
      <c r="D40" s="11" t="s">
        <v>152</v>
      </c>
      <c r="E40" s="10" t="s">
        <v>140</v>
      </c>
      <c r="F40" s="12" t="n">
        <v>2</v>
      </c>
      <c r="G40" s="13" t="n">
        <v>0</v>
      </c>
      <c r="H40" s="14" t="n">
        <v>2</v>
      </c>
      <c r="I40" s="15" t="n">
        <v>22.5</v>
      </c>
      <c r="J40" s="16" t="n">
        <f aca="false">H40*I40</f>
        <v>45</v>
      </c>
      <c r="K40" s="10" t="s">
        <v>62</v>
      </c>
      <c r="L40" s="17" t="s">
        <v>54</v>
      </c>
      <c r="M40" s="11" t="s">
        <v>140</v>
      </c>
      <c r="N40" s="11"/>
    </row>
    <row r="41" customFormat="false" ht="15" hidden="false" customHeight="false" outlineLevel="0" collapsed="false">
      <c r="A41" s="10" t="n">
        <v>37</v>
      </c>
      <c r="B41" s="11" t="s">
        <v>150</v>
      </c>
      <c r="C41" s="11" t="s">
        <v>153</v>
      </c>
      <c r="D41" s="11" t="s">
        <v>65</v>
      </c>
      <c r="E41" s="10" t="s">
        <v>52</v>
      </c>
      <c r="F41" s="12" t="n">
        <v>3</v>
      </c>
      <c r="G41" s="13" t="n">
        <v>0</v>
      </c>
      <c r="H41" s="14" t="n">
        <v>3</v>
      </c>
      <c r="I41" s="15" t="n">
        <v>10</v>
      </c>
      <c r="J41" s="16" t="n">
        <f aca="false">H41*I41</f>
        <v>30</v>
      </c>
      <c r="K41" s="10" t="s">
        <v>62</v>
      </c>
      <c r="L41" s="17" t="s">
        <v>54</v>
      </c>
      <c r="M41" s="11" t="s">
        <v>52</v>
      </c>
      <c r="N41" s="11"/>
    </row>
    <row r="42" customFormat="false" ht="15" hidden="false" customHeight="false" outlineLevel="0" collapsed="false">
      <c r="A42" s="10" t="n">
        <v>38</v>
      </c>
      <c r="B42" s="11" t="s">
        <v>150</v>
      </c>
      <c r="C42" s="11" t="s">
        <v>154</v>
      </c>
      <c r="D42" s="11" t="s">
        <v>65</v>
      </c>
      <c r="E42" s="10" t="s">
        <v>52</v>
      </c>
      <c r="F42" s="12" t="n">
        <v>1</v>
      </c>
      <c r="G42" s="13" t="n">
        <v>0</v>
      </c>
      <c r="H42" s="14" t="n">
        <v>1</v>
      </c>
      <c r="I42" s="15" t="n">
        <v>40</v>
      </c>
      <c r="J42" s="16" t="n">
        <f aca="false">H42*I42</f>
        <v>40</v>
      </c>
      <c r="K42" s="10" t="s">
        <v>62</v>
      </c>
      <c r="L42" s="17" t="s">
        <v>54</v>
      </c>
      <c r="M42" s="11" t="s">
        <v>52</v>
      </c>
      <c r="N42" s="11"/>
    </row>
    <row r="43" customFormat="false" ht="15" hidden="false" customHeight="false" outlineLevel="0" collapsed="false">
      <c r="A43" s="10" t="n">
        <v>39</v>
      </c>
      <c r="B43" s="11" t="s">
        <v>150</v>
      </c>
      <c r="C43" s="11" t="s">
        <v>155</v>
      </c>
      <c r="D43" s="11" t="s">
        <v>65</v>
      </c>
      <c r="E43" s="10" t="s">
        <v>52</v>
      </c>
      <c r="F43" s="12" t="n">
        <v>1</v>
      </c>
      <c r="G43" s="13" t="n">
        <v>0</v>
      </c>
      <c r="H43" s="14" t="n">
        <v>1</v>
      </c>
      <c r="I43" s="15" t="n">
        <v>30</v>
      </c>
      <c r="J43" s="16" t="n">
        <f aca="false">H43*I43</f>
        <v>30</v>
      </c>
      <c r="K43" s="10" t="s">
        <v>62</v>
      </c>
      <c r="L43" s="17" t="s">
        <v>54</v>
      </c>
      <c r="M43" s="11" t="s">
        <v>52</v>
      </c>
      <c r="N43" s="11"/>
    </row>
    <row r="44" customFormat="false" ht="15" hidden="false" customHeight="false" outlineLevel="0" collapsed="false">
      <c r="A44" s="10" t="n">
        <v>40</v>
      </c>
      <c r="B44" s="11" t="s">
        <v>150</v>
      </c>
      <c r="C44" s="11" t="s">
        <v>156</v>
      </c>
      <c r="D44" s="11" t="s">
        <v>65</v>
      </c>
      <c r="E44" s="10" t="s">
        <v>52</v>
      </c>
      <c r="F44" s="12" t="n">
        <v>1</v>
      </c>
      <c r="G44" s="13" t="n">
        <v>0</v>
      </c>
      <c r="H44" s="14" t="n">
        <v>1</v>
      </c>
      <c r="I44" s="15" t="n">
        <v>100</v>
      </c>
      <c r="J44" s="16" t="n">
        <f aca="false">H44*I44</f>
        <v>100</v>
      </c>
      <c r="K44" s="10" t="s">
        <v>62</v>
      </c>
      <c r="L44" s="17" t="s">
        <v>54</v>
      </c>
      <c r="M44" s="11" t="s">
        <v>52</v>
      </c>
      <c r="N44" s="11"/>
    </row>
    <row r="45" customFormat="false" ht="15" hidden="false" customHeight="false" outlineLevel="0" collapsed="false">
      <c r="A45" s="10" t="n">
        <v>41</v>
      </c>
      <c r="B45" s="11" t="s">
        <v>150</v>
      </c>
      <c r="C45" s="11" t="s">
        <v>157</v>
      </c>
      <c r="D45" s="11" t="s">
        <v>158</v>
      </c>
      <c r="E45" s="10" t="s">
        <v>159</v>
      </c>
      <c r="F45" s="12" t="n">
        <v>1</v>
      </c>
      <c r="G45" s="13" t="n">
        <v>0</v>
      </c>
      <c r="H45" s="14" t="n">
        <v>1</v>
      </c>
      <c r="I45" s="15" t="n">
        <v>35</v>
      </c>
      <c r="J45" s="16" t="n">
        <f aca="false">H45*I45</f>
        <v>35</v>
      </c>
      <c r="K45" s="10" t="s">
        <v>62</v>
      </c>
      <c r="L45" s="17" t="s">
        <v>54</v>
      </c>
      <c r="M45" s="11" t="s">
        <v>159</v>
      </c>
      <c r="N45" s="11"/>
    </row>
    <row r="46" customFormat="false" ht="15" hidden="false" customHeight="false" outlineLevel="0" collapsed="false">
      <c r="A46" s="10" t="n">
        <v>42</v>
      </c>
      <c r="B46" s="11" t="s">
        <v>160</v>
      </c>
      <c r="C46" s="11" t="s">
        <v>161</v>
      </c>
      <c r="D46" s="11" t="s">
        <v>162</v>
      </c>
      <c r="E46" s="10" t="s">
        <v>86</v>
      </c>
      <c r="F46" s="12" t="n">
        <v>1</v>
      </c>
      <c r="G46" s="13" t="n">
        <v>0</v>
      </c>
      <c r="H46" s="14" t="n">
        <v>1</v>
      </c>
      <c r="I46" s="15" t="n">
        <v>280</v>
      </c>
      <c r="J46" s="16" t="n">
        <f aca="false">H46*I46</f>
        <v>280</v>
      </c>
      <c r="K46" s="10" t="s">
        <v>62</v>
      </c>
      <c r="L46" s="17" t="s">
        <v>54</v>
      </c>
      <c r="M46" s="11" t="s">
        <v>86</v>
      </c>
      <c r="N46" s="11"/>
    </row>
    <row r="47" customFormat="false" ht="15" hidden="false" customHeight="false" outlineLevel="0" collapsed="false">
      <c r="A47" s="10" t="n">
        <v>43</v>
      </c>
      <c r="B47" s="11" t="s">
        <v>160</v>
      </c>
      <c r="C47" s="11" t="s">
        <v>163</v>
      </c>
      <c r="D47" s="11" t="s">
        <v>162</v>
      </c>
      <c r="E47" s="10" t="s">
        <v>86</v>
      </c>
      <c r="F47" s="12" t="n">
        <v>1</v>
      </c>
      <c r="G47" s="13" t="n">
        <v>0</v>
      </c>
      <c r="H47" s="14" t="n">
        <v>1</v>
      </c>
      <c r="I47" s="15" t="n">
        <v>450</v>
      </c>
      <c r="J47" s="16" t="n">
        <f aca="false">H47*I47</f>
        <v>450</v>
      </c>
      <c r="K47" s="10" t="s">
        <v>62</v>
      </c>
      <c r="L47" s="17" t="s">
        <v>54</v>
      </c>
      <c r="M47" s="11" t="s">
        <v>86</v>
      </c>
      <c r="N47" s="11"/>
    </row>
    <row r="48" customFormat="false" ht="15" hidden="false" customHeight="false" outlineLevel="0" collapsed="false">
      <c r="A48" s="10" t="n">
        <v>44</v>
      </c>
      <c r="B48" s="11" t="s">
        <v>160</v>
      </c>
      <c r="C48" s="11" t="s">
        <v>164</v>
      </c>
      <c r="D48" s="11" t="s">
        <v>165</v>
      </c>
      <c r="E48" s="10" t="s">
        <v>52</v>
      </c>
      <c r="F48" s="12" t="n">
        <v>2</v>
      </c>
      <c r="G48" s="13" t="n">
        <v>0</v>
      </c>
      <c r="H48" s="14" t="n">
        <v>2</v>
      </c>
      <c r="I48" s="15" t="n">
        <v>30</v>
      </c>
      <c r="J48" s="16" t="n">
        <f aca="false">H48*I48</f>
        <v>60</v>
      </c>
      <c r="K48" s="10" t="s">
        <v>62</v>
      </c>
      <c r="L48" s="17" t="s">
        <v>54</v>
      </c>
      <c r="M48" s="11" t="s">
        <v>52</v>
      </c>
      <c r="N48" s="11"/>
    </row>
    <row r="49" customFormat="false" ht="15" hidden="false" customHeight="false" outlineLevel="0" collapsed="false">
      <c r="A49" s="10" t="n">
        <v>45</v>
      </c>
      <c r="B49" s="11" t="s">
        <v>160</v>
      </c>
      <c r="C49" s="11" t="s">
        <v>166</v>
      </c>
      <c r="D49" s="11" t="s">
        <v>167</v>
      </c>
      <c r="E49" s="10" t="s">
        <v>52</v>
      </c>
      <c r="F49" s="12" t="n">
        <v>2</v>
      </c>
      <c r="G49" s="13" t="n">
        <v>0</v>
      </c>
      <c r="H49" s="14" t="n">
        <v>2</v>
      </c>
      <c r="I49" s="15" t="n">
        <v>12</v>
      </c>
      <c r="J49" s="16" t="n">
        <f aca="false">H49*I49</f>
        <v>24</v>
      </c>
      <c r="K49" s="10" t="s">
        <v>62</v>
      </c>
      <c r="L49" s="17" t="s">
        <v>54</v>
      </c>
      <c r="M49" s="11" t="s">
        <v>52</v>
      </c>
      <c r="N49" s="11"/>
    </row>
    <row r="50" customFormat="false" ht="15" hidden="false" customHeight="false" outlineLevel="0" collapsed="false">
      <c r="A50" s="10" t="n">
        <v>46</v>
      </c>
      <c r="B50" s="11" t="s">
        <v>160</v>
      </c>
      <c r="C50" s="11" t="s">
        <v>168</v>
      </c>
      <c r="D50" s="11" t="s">
        <v>169</v>
      </c>
      <c r="E50" s="10" t="s">
        <v>123</v>
      </c>
      <c r="F50" s="12" t="n">
        <v>3</v>
      </c>
      <c r="G50" s="13" t="n">
        <v>0.33</v>
      </c>
      <c r="H50" s="14" t="n">
        <v>4</v>
      </c>
      <c r="I50" s="15" t="n">
        <v>80</v>
      </c>
      <c r="J50" s="16" t="n">
        <f aca="false">H50*I50</f>
        <v>320</v>
      </c>
      <c r="K50" s="10" t="s">
        <v>53</v>
      </c>
      <c r="L50" s="17" t="s">
        <v>54</v>
      </c>
      <c r="M50" s="11" t="s">
        <v>170</v>
      </c>
      <c r="N50" s="11" t="s">
        <v>171</v>
      </c>
    </row>
    <row r="51" customFormat="false" ht="22.35" hidden="false" customHeight="false" outlineLevel="0" collapsed="false">
      <c r="A51" s="10" t="n">
        <v>47</v>
      </c>
      <c r="B51" s="11" t="s">
        <v>172</v>
      </c>
      <c r="C51" s="11" t="s">
        <v>173</v>
      </c>
      <c r="D51" s="11" t="s">
        <v>174</v>
      </c>
      <c r="E51" s="10" t="s">
        <v>86</v>
      </c>
      <c r="F51" s="12" t="n">
        <v>8</v>
      </c>
      <c r="G51" s="13" t="n">
        <v>0</v>
      </c>
      <c r="H51" s="14" t="n">
        <v>8</v>
      </c>
      <c r="I51" s="15" t="n">
        <v>200</v>
      </c>
      <c r="J51" s="16" t="n">
        <f aca="false">H51*I51</f>
        <v>1600</v>
      </c>
      <c r="K51" s="10" t="s">
        <v>62</v>
      </c>
      <c r="L51" s="17" t="s">
        <v>54</v>
      </c>
      <c r="M51" s="11" t="s">
        <v>86</v>
      </c>
      <c r="N51" s="11" t="s">
        <v>175</v>
      </c>
    </row>
    <row r="52" customFormat="false" ht="15" hidden="false" customHeight="false" outlineLevel="0" collapsed="false">
      <c r="A52" s="10" t="n">
        <v>48</v>
      </c>
      <c r="B52" s="11" t="s">
        <v>176</v>
      </c>
      <c r="C52" s="11" t="s">
        <v>177</v>
      </c>
      <c r="D52" s="11" t="s">
        <v>178</v>
      </c>
      <c r="E52" s="10" t="s">
        <v>179</v>
      </c>
      <c r="F52" s="12" t="n">
        <v>920</v>
      </c>
      <c r="G52" s="13" t="n">
        <v>0.5</v>
      </c>
      <c r="H52" s="14" t="n">
        <v>1380</v>
      </c>
      <c r="I52" s="15" t="n">
        <v>16</v>
      </c>
      <c r="J52" s="16" t="n">
        <f aca="false">H52*I52</f>
        <v>22080</v>
      </c>
      <c r="K52" s="10" t="s">
        <v>180</v>
      </c>
      <c r="L52" s="17" t="s">
        <v>54</v>
      </c>
      <c r="M52" s="11" t="s">
        <v>181</v>
      </c>
      <c r="N52" s="11" t="s">
        <v>182</v>
      </c>
    </row>
    <row r="53" customFormat="false" ht="15" hidden="false" customHeight="false" outlineLevel="0" collapsed="false">
      <c r="A53" s="10" t="n">
        <v>49</v>
      </c>
      <c r="B53" s="11" t="s">
        <v>183</v>
      </c>
      <c r="C53" s="11" t="s">
        <v>184</v>
      </c>
      <c r="D53" s="11" t="s">
        <v>185</v>
      </c>
      <c r="E53" s="10" t="s">
        <v>186</v>
      </c>
      <c r="F53" s="12" t="n">
        <v>1</v>
      </c>
      <c r="G53" s="13" t="n">
        <v>0</v>
      </c>
      <c r="H53" s="14" t="n">
        <v>1</v>
      </c>
      <c r="I53" s="15" t="n">
        <v>1120</v>
      </c>
      <c r="J53" s="16" t="n">
        <f aca="false">H53*I53</f>
        <v>1120</v>
      </c>
      <c r="K53" s="10" t="s">
        <v>62</v>
      </c>
      <c r="L53" s="17" t="s">
        <v>54</v>
      </c>
      <c r="M53" s="11" t="s">
        <v>186</v>
      </c>
      <c r="N53" s="11" t="s">
        <v>187</v>
      </c>
    </row>
    <row r="54" customFormat="false" ht="15" hidden="false" customHeight="false" outlineLevel="0" collapsed="false">
      <c r="A54" s="10" t="n">
        <v>50</v>
      </c>
      <c r="B54" s="11" t="s">
        <v>183</v>
      </c>
      <c r="C54" s="11" t="s">
        <v>188</v>
      </c>
      <c r="D54" s="11" t="s">
        <v>185</v>
      </c>
      <c r="E54" s="10" t="s">
        <v>186</v>
      </c>
      <c r="F54" s="12" t="n">
        <v>1</v>
      </c>
      <c r="G54" s="13" t="n">
        <v>0</v>
      </c>
      <c r="H54" s="14" t="n">
        <v>1</v>
      </c>
      <c r="I54" s="15" t="n">
        <v>660</v>
      </c>
      <c r="J54" s="16" t="n">
        <f aca="false">H54*I54</f>
        <v>660</v>
      </c>
      <c r="K54" s="10" t="s">
        <v>62</v>
      </c>
      <c r="L54" s="17" t="s">
        <v>54</v>
      </c>
      <c r="M54" s="11" t="s">
        <v>186</v>
      </c>
      <c r="N54" s="11" t="s">
        <v>187</v>
      </c>
    </row>
    <row r="55" customFormat="false" ht="15" hidden="false" customHeight="false" outlineLevel="0" collapsed="false">
      <c r="A55" s="10" t="n">
        <v>51</v>
      </c>
      <c r="B55" s="11" t="s">
        <v>183</v>
      </c>
      <c r="C55" s="11" t="s">
        <v>189</v>
      </c>
      <c r="D55" s="11" t="s">
        <v>190</v>
      </c>
      <c r="E55" s="10" t="s">
        <v>186</v>
      </c>
      <c r="F55" s="12" t="n">
        <v>2</v>
      </c>
      <c r="G55" s="13" t="n">
        <v>0</v>
      </c>
      <c r="H55" s="14" t="n">
        <v>2</v>
      </c>
      <c r="I55" s="15" t="n">
        <v>300</v>
      </c>
      <c r="J55" s="16" t="n">
        <f aca="false">H55*I55</f>
        <v>600</v>
      </c>
      <c r="K55" s="10" t="s">
        <v>62</v>
      </c>
      <c r="L55" s="17" t="s">
        <v>54</v>
      </c>
      <c r="M55" s="11" t="s">
        <v>186</v>
      </c>
      <c r="N55" s="11"/>
    </row>
    <row r="56" customFormat="false" ht="15" hidden="false" customHeight="false" outlineLevel="0" collapsed="false">
      <c r="A56" s="10" t="n">
        <v>52</v>
      </c>
      <c r="B56" s="11" t="s">
        <v>135</v>
      </c>
      <c r="C56" s="11" t="s">
        <v>191</v>
      </c>
      <c r="D56" s="11" t="s">
        <v>192</v>
      </c>
      <c r="E56" s="10" t="s">
        <v>193</v>
      </c>
      <c r="F56" s="12" t="n">
        <v>2</v>
      </c>
      <c r="G56" s="13" t="n">
        <v>0</v>
      </c>
      <c r="H56" s="14" t="n">
        <v>2</v>
      </c>
      <c r="I56" s="15" t="n">
        <v>10</v>
      </c>
      <c r="J56" s="16" t="n">
        <f aca="false">H56*I56</f>
        <v>20</v>
      </c>
      <c r="K56" s="10" t="s">
        <v>62</v>
      </c>
      <c r="L56" s="17" t="s">
        <v>54</v>
      </c>
      <c r="M56" s="11" t="s">
        <v>193</v>
      </c>
      <c r="N56" s="11" t="s">
        <v>194</v>
      </c>
    </row>
    <row r="57" customFormat="false" ht="15" hidden="false" customHeight="false" outlineLevel="0" collapsed="false">
      <c r="I57" s="5" t="s">
        <v>195</v>
      </c>
      <c r="J57" s="18" t="n">
        <f aca="false">SUM(J5:J56)</f>
        <v>50507</v>
      </c>
    </row>
  </sheetData>
  <autoFilter ref="A4:N56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8" min="7" style="0" width="12"/>
    <col collapsed="false" customWidth="true" hidden="false" outlineLevel="0" max="9" min="9" style="0" width="40"/>
    <col collapsed="false" customWidth="true" hidden="false" outlineLevel="0" max="10" min="10" style="0" width="12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197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7.75" hidden="false" customHeight="true" outlineLevel="0" collapsed="false">
      <c r="A4" s="9" t="s">
        <v>35</v>
      </c>
      <c r="B4" s="9" t="s">
        <v>198</v>
      </c>
      <c r="C4" s="9" t="s">
        <v>37</v>
      </c>
      <c r="D4" s="9" t="s">
        <v>199</v>
      </c>
      <c r="E4" s="9" t="s">
        <v>200</v>
      </c>
      <c r="F4" s="9" t="s">
        <v>39</v>
      </c>
      <c r="G4" s="9" t="s">
        <v>201</v>
      </c>
      <c r="H4" s="9" t="s">
        <v>44</v>
      </c>
      <c r="I4" s="9" t="s">
        <v>202</v>
      </c>
      <c r="J4" s="9" t="s">
        <v>203</v>
      </c>
      <c r="K4" s="9" t="s">
        <v>204</v>
      </c>
    </row>
    <row r="5" customFormat="false" ht="22.35" hidden="false" customHeight="false" outlineLevel="0" collapsed="false">
      <c r="A5" s="10" t="n">
        <v>1</v>
      </c>
      <c r="B5" s="11" t="s">
        <v>49</v>
      </c>
      <c r="C5" s="11" t="s">
        <v>50</v>
      </c>
      <c r="D5" s="11" t="s">
        <v>55</v>
      </c>
      <c r="E5" s="14" t="n">
        <v>12</v>
      </c>
      <c r="F5" s="10" t="s">
        <v>52</v>
      </c>
      <c r="G5" s="15" t="n">
        <v>28</v>
      </c>
      <c r="H5" s="16" t="n">
        <f aca="false">E5*G5</f>
        <v>336</v>
      </c>
      <c r="I5" s="11" t="s">
        <v>205</v>
      </c>
      <c r="J5" s="11" t="s">
        <v>206</v>
      </c>
      <c r="K5" s="19" t="s">
        <v>207</v>
      </c>
    </row>
    <row r="6" customFormat="false" ht="22.35" hidden="false" customHeight="false" outlineLevel="0" collapsed="false">
      <c r="A6" s="10" t="n">
        <v>2</v>
      </c>
      <c r="B6" s="11" t="s">
        <v>49</v>
      </c>
      <c r="C6" s="11" t="s">
        <v>57</v>
      </c>
      <c r="D6" s="11" t="s">
        <v>55</v>
      </c>
      <c r="E6" s="14" t="n">
        <v>5</v>
      </c>
      <c r="F6" s="10" t="s">
        <v>52</v>
      </c>
      <c r="G6" s="15" t="n">
        <v>300</v>
      </c>
      <c r="H6" s="16" t="n">
        <f aca="false">E6*G6</f>
        <v>1500</v>
      </c>
      <c r="I6" s="11" t="s">
        <v>205</v>
      </c>
      <c r="J6" s="11" t="s">
        <v>206</v>
      </c>
      <c r="K6" s="19" t="s">
        <v>207</v>
      </c>
    </row>
    <row r="7" customFormat="false" ht="22.35" hidden="false" customHeight="false" outlineLevel="0" collapsed="false">
      <c r="A7" s="10" t="n">
        <v>3</v>
      </c>
      <c r="B7" s="11" t="s">
        <v>49</v>
      </c>
      <c r="C7" s="11" t="s">
        <v>59</v>
      </c>
      <c r="D7" s="11" t="s">
        <v>55</v>
      </c>
      <c r="E7" s="14" t="n">
        <v>16</v>
      </c>
      <c r="F7" s="10" t="s">
        <v>52</v>
      </c>
      <c r="G7" s="15" t="n">
        <v>450</v>
      </c>
      <c r="H7" s="16" t="n">
        <f aca="false">E7*G7</f>
        <v>7200</v>
      </c>
      <c r="I7" s="11" t="s">
        <v>205</v>
      </c>
      <c r="J7" s="11" t="s">
        <v>206</v>
      </c>
      <c r="K7" s="19" t="s">
        <v>207</v>
      </c>
    </row>
    <row r="8" customFormat="false" ht="22.35" hidden="false" customHeight="false" outlineLevel="0" collapsed="false">
      <c r="A8" s="10" t="n">
        <v>4</v>
      </c>
      <c r="B8" s="11" t="s">
        <v>49</v>
      </c>
      <c r="C8" s="11" t="s">
        <v>61</v>
      </c>
      <c r="D8" s="11" t="s">
        <v>55</v>
      </c>
      <c r="E8" s="14" t="n">
        <v>3</v>
      </c>
      <c r="F8" s="10" t="s">
        <v>52</v>
      </c>
      <c r="G8" s="15" t="n">
        <v>220</v>
      </c>
      <c r="H8" s="16" t="n">
        <f aca="false">E8*G8</f>
        <v>660</v>
      </c>
      <c r="I8" s="11" t="s">
        <v>205</v>
      </c>
      <c r="J8" s="11" t="s">
        <v>206</v>
      </c>
      <c r="K8" s="19" t="s">
        <v>207</v>
      </c>
    </row>
    <row r="9" customFormat="false" ht="22.35" hidden="false" customHeight="false" outlineLevel="0" collapsed="false">
      <c r="A9" s="10" t="n">
        <v>5</v>
      </c>
      <c r="B9" s="11" t="s">
        <v>49</v>
      </c>
      <c r="C9" s="11" t="s">
        <v>64</v>
      </c>
      <c r="D9" s="11" t="s">
        <v>52</v>
      </c>
      <c r="E9" s="14" t="n">
        <v>1</v>
      </c>
      <c r="F9" s="10" t="s">
        <v>52</v>
      </c>
      <c r="G9" s="15" t="n">
        <v>180</v>
      </c>
      <c r="H9" s="16" t="n">
        <f aca="false">E9*G9</f>
        <v>180</v>
      </c>
      <c r="I9" s="11" t="s">
        <v>205</v>
      </c>
      <c r="J9" s="11" t="s">
        <v>206</v>
      </c>
      <c r="K9" s="19" t="s">
        <v>207</v>
      </c>
    </row>
    <row r="10" customFormat="false" ht="22.35" hidden="false" customHeight="false" outlineLevel="0" collapsed="false">
      <c r="A10" s="10" t="n">
        <v>6</v>
      </c>
      <c r="B10" s="11" t="s">
        <v>49</v>
      </c>
      <c r="C10" s="11" t="s">
        <v>67</v>
      </c>
      <c r="D10" s="11" t="s">
        <v>52</v>
      </c>
      <c r="E10" s="14" t="n">
        <v>1</v>
      </c>
      <c r="F10" s="10" t="s">
        <v>52</v>
      </c>
      <c r="G10" s="15" t="n">
        <v>520</v>
      </c>
      <c r="H10" s="16" t="n">
        <f aca="false">E10*G10</f>
        <v>520</v>
      </c>
      <c r="I10" s="11" t="s">
        <v>205</v>
      </c>
      <c r="J10" s="11" t="s">
        <v>206</v>
      </c>
      <c r="K10" s="19" t="s">
        <v>207</v>
      </c>
    </row>
    <row r="11" customFormat="false" ht="22.35" hidden="false" customHeight="false" outlineLevel="0" collapsed="false">
      <c r="A11" s="10" t="n">
        <v>7</v>
      </c>
      <c r="B11" s="11" t="s">
        <v>49</v>
      </c>
      <c r="C11" s="11" t="s">
        <v>70</v>
      </c>
      <c r="D11" s="11" t="s">
        <v>52</v>
      </c>
      <c r="E11" s="14" t="n">
        <v>2</v>
      </c>
      <c r="F11" s="10" t="s">
        <v>52</v>
      </c>
      <c r="G11" s="15" t="n">
        <v>710</v>
      </c>
      <c r="H11" s="16" t="n">
        <f aca="false">E11*G11</f>
        <v>1420</v>
      </c>
      <c r="I11" s="11" t="s">
        <v>205</v>
      </c>
      <c r="J11" s="11" t="s">
        <v>206</v>
      </c>
      <c r="K11" s="19" t="s">
        <v>207</v>
      </c>
    </row>
    <row r="12" customFormat="false" ht="22.35" hidden="false" customHeight="false" outlineLevel="0" collapsed="false">
      <c r="A12" s="10" t="n">
        <v>8</v>
      </c>
      <c r="B12" s="11" t="s">
        <v>49</v>
      </c>
      <c r="C12" s="11" t="s">
        <v>73</v>
      </c>
      <c r="D12" s="11" t="s">
        <v>52</v>
      </c>
      <c r="E12" s="14" t="n">
        <v>3</v>
      </c>
      <c r="F12" s="10" t="s">
        <v>52</v>
      </c>
      <c r="G12" s="15" t="n">
        <v>185</v>
      </c>
      <c r="H12" s="16" t="n">
        <f aca="false">E12*G12</f>
        <v>555</v>
      </c>
      <c r="I12" s="11" t="s">
        <v>205</v>
      </c>
      <c r="J12" s="11" t="s">
        <v>206</v>
      </c>
      <c r="K12" s="19" t="s">
        <v>207</v>
      </c>
    </row>
    <row r="13" customFormat="false" ht="22.35" hidden="false" customHeight="false" outlineLevel="0" collapsed="false">
      <c r="A13" s="10" t="n">
        <v>9</v>
      </c>
      <c r="B13" s="11" t="s">
        <v>49</v>
      </c>
      <c r="C13" s="11" t="s">
        <v>76</v>
      </c>
      <c r="D13" s="11" t="s">
        <v>52</v>
      </c>
      <c r="E13" s="14" t="n">
        <v>96</v>
      </c>
      <c r="F13" s="10" t="s">
        <v>52</v>
      </c>
      <c r="G13" s="15" t="n">
        <v>3</v>
      </c>
      <c r="H13" s="16" t="n">
        <f aca="false">E13*G13</f>
        <v>288</v>
      </c>
      <c r="I13" s="11" t="s">
        <v>205</v>
      </c>
      <c r="J13" s="11" t="s">
        <v>206</v>
      </c>
      <c r="K13" s="19" t="s">
        <v>207</v>
      </c>
    </row>
    <row r="14" customFormat="false" ht="22.35" hidden="false" customHeight="false" outlineLevel="0" collapsed="false">
      <c r="A14" s="10" t="n">
        <v>10</v>
      </c>
      <c r="B14" s="11" t="s">
        <v>49</v>
      </c>
      <c r="C14" s="11" t="s">
        <v>79</v>
      </c>
      <c r="D14" s="11" t="s">
        <v>52</v>
      </c>
      <c r="E14" s="14" t="n">
        <v>24</v>
      </c>
      <c r="F14" s="10" t="s">
        <v>52</v>
      </c>
      <c r="G14" s="15" t="n">
        <v>5</v>
      </c>
      <c r="H14" s="16" t="n">
        <f aca="false">E14*G14</f>
        <v>120</v>
      </c>
      <c r="I14" s="11" t="s">
        <v>205</v>
      </c>
      <c r="J14" s="11" t="s">
        <v>206</v>
      </c>
      <c r="K14" s="19" t="s">
        <v>207</v>
      </c>
    </row>
    <row r="15" customFormat="false" ht="22.35" hidden="false" customHeight="false" outlineLevel="0" collapsed="false">
      <c r="A15" s="10" t="n">
        <v>11</v>
      </c>
      <c r="B15" s="11" t="s">
        <v>49</v>
      </c>
      <c r="C15" s="11" t="s">
        <v>81</v>
      </c>
      <c r="D15" s="11" t="s">
        <v>52</v>
      </c>
      <c r="E15" s="14" t="n">
        <v>296</v>
      </c>
      <c r="F15" s="10" t="s">
        <v>52</v>
      </c>
      <c r="G15" s="15" t="n">
        <v>10</v>
      </c>
      <c r="H15" s="16" t="n">
        <f aca="false">E15*G15</f>
        <v>2960</v>
      </c>
      <c r="I15" s="11" t="s">
        <v>205</v>
      </c>
      <c r="J15" s="11" t="s">
        <v>206</v>
      </c>
      <c r="K15" s="19" t="s">
        <v>207</v>
      </c>
    </row>
    <row r="16" customFormat="false" ht="22.35" hidden="false" customHeight="false" outlineLevel="0" collapsed="false">
      <c r="A16" s="10" t="n">
        <v>12</v>
      </c>
      <c r="B16" s="11" t="s">
        <v>49</v>
      </c>
      <c r="C16" s="11" t="s">
        <v>84</v>
      </c>
      <c r="D16" s="11" t="s">
        <v>86</v>
      </c>
      <c r="E16" s="14" t="n">
        <v>1</v>
      </c>
      <c r="F16" s="10" t="s">
        <v>86</v>
      </c>
      <c r="G16" s="15" t="n">
        <v>220</v>
      </c>
      <c r="H16" s="16" t="n">
        <f aca="false">E16*G16</f>
        <v>220</v>
      </c>
      <c r="I16" s="11" t="s">
        <v>205</v>
      </c>
      <c r="J16" s="11" t="s">
        <v>206</v>
      </c>
      <c r="K16" s="19" t="s">
        <v>207</v>
      </c>
    </row>
    <row r="17" customFormat="false" ht="15" hidden="false" customHeight="false" outlineLevel="0" collapsed="false">
      <c r="A17" s="10" t="n">
        <v>13</v>
      </c>
      <c r="B17" s="11" t="s">
        <v>87</v>
      </c>
      <c r="C17" s="11" t="s">
        <v>88</v>
      </c>
      <c r="D17" s="11" t="s">
        <v>52</v>
      </c>
      <c r="E17" s="14" t="n">
        <v>23</v>
      </c>
      <c r="F17" s="10" t="s">
        <v>52</v>
      </c>
      <c r="G17" s="15" t="n">
        <v>25</v>
      </c>
      <c r="H17" s="16" t="n">
        <f aca="false">E17*G17</f>
        <v>575</v>
      </c>
      <c r="I17" s="11" t="s">
        <v>208</v>
      </c>
      <c r="J17" s="11" t="s">
        <v>206</v>
      </c>
      <c r="K17" s="19" t="s">
        <v>207</v>
      </c>
    </row>
    <row r="18" customFormat="false" ht="15" hidden="false" customHeight="false" outlineLevel="0" collapsed="false">
      <c r="A18" s="10" t="n">
        <v>14</v>
      </c>
      <c r="B18" s="11" t="s">
        <v>87</v>
      </c>
      <c r="C18" s="11" t="s">
        <v>91</v>
      </c>
      <c r="D18" s="11" t="s">
        <v>52</v>
      </c>
      <c r="E18" s="14" t="n">
        <v>40</v>
      </c>
      <c r="F18" s="10" t="s">
        <v>52</v>
      </c>
      <c r="G18" s="15" t="n">
        <v>35</v>
      </c>
      <c r="H18" s="16" t="n">
        <f aca="false">E18*G18</f>
        <v>1400</v>
      </c>
      <c r="I18" s="11" t="s">
        <v>208</v>
      </c>
      <c r="J18" s="11" t="s">
        <v>206</v>
      </c>
      <c r="K18" s="19" t="s">
        <v>207</v>
      </c>
    </row>
    <row r="19" customFormat="false" ht="15" hidden="false" customHeight="false" outlineLevel="0" collapsed="false">
      <c r="A19" s="10" t="n">
        <v>15</v>
      </c>
      <c r="B19" s="11" t="s">
        <v>87</v>
      </c>
      <c r="C19" s="11" t="s">
        <v>93</v>
      </c>
      <c r="D19" s="11" t="s">
        <v>95</v>
      </c>
      <c r="E19" s="14" t="n">
        <v>9</v>
      </c>
      <c r="F19" s="10" t="s">
        <v>52</v>
      </c>
      <c r="G19" s="15" t="n">
        <v>27</v>
      </c>
      <c r="H19" s="16" t="n">
        <f aca="false">E19*G19</f>
        <v>243</v>
      </c>
      <c r="I19" s="11" t="s">
        <v>208</v>
      </c>
      <c r="J19" s="11" t="s">
        <v>206</v>
      </c>
      <c r="K19" s="19" t="s">
        <v>207</v>
      </c>
    </row>
    <row r="20" customFormat="false" ht="15" hidden="false" customHeight="false" outlineLevel="0" collapsed="false">
      <c r="A20" s="10" t="n">
        <v>16</v>
      </c>
      <c r="B20" s="11" t="s">
        <v>87</v>
      </c>
      <c r="C20" s="11" t="s">
        <v>97</v>
      </c>
      <c r="D20" s="11" t="s">
        <v>52</v>
      </c>
      <c r="E20" s="14" t="n">
        <v>11</v>
      </c>
      <c r="F20" s="10" t="s">
        <v>52</v>
      </c>
      <c r="G20" s="15" t="n">
        <v>20</v>
      </c>
      <c r="H20" s="16" t="n">
        <f aca="false">E20*G20</f>
        <v>220</v>
      </c>
      <c r="I20" s="11" t="s">
        <v>208</v>
      </c>
      <c r="J20" s="11" t="s">
        <v>206</v>
      </c>
      <c r="K20" s="19" t="s">
        <v>207</v>
      </c>
    </row>
    <row r="21" customFormat="false" ht="15" hidden="false" customHeight="false" outlineLevel="0" collapsed="false">
      <c r="A21" s="10" t="n">
        <v>17</v>
      </c>
      <c r="B21" s="11" t="s">
        <v>100</v>
      </c>
      <c r="C21" s="11" t="s">
        <v>101</v>
      </c>
      <c r="D21" s="11" t="s">
        <v>104</v>
      </c>
      <c r="E21" s="14" t="n">
        <v>25</v>
      </c>
      <c r="F21" s="10" t="s">
        <v>103</v>
      </c>
      <c r="G21" s="15" t="n">
        <v>30</v>
      </c>
      <c r="H21" s="16" t="n">
        <f aca="false">E21*G21</f>
        <v>750</v>
      </c>
      <c r="I21" s="11" t="s">
        <v>209</v>
      </c>
      <c r="J21" s="11" t="s">
        <v>206</v>
      </c>
      <c r="K21" s="19" t="s">
        <v>207</v>
      </c>
    </row>
    <row r="22" customFormat="false" ht="15" hidden="false" customHeight="false" outlineLevel="0" collapsed="false">
      <c r="A22" s="10" t="n">
        <v>18</v>
      </c>
      <c r="B22" s="11" t="s">
        <v>100</v>
      </c>
      <c r="C22" s="11" t="s">
        <v>106</v>
      </c>
      <c r="D22" s="11" t="s">
        <v>107</v>
      </c>
      <c r="E22" s="14" t="n">
        <v>5</v>
      </c>
      <c r="F22" s="10" t="s">
        <v>103</v>
      </c>
      <c r="G22" s="15" t="n">
        <v>38</v>
      </c>
      <c r="H22" s="16" t="n">
        <f aca="false">E22*G22</f>
        <v>190</v>
      </c>
      <c r="I22" s="11" t="s">
        <v>209</v>
      </c>
      <c r="J22" s="11" t="s">
        <v>206</v>
      </c>
      <c r="K22" s="19" t="s">
        <v>207</v>
      </c>
    </row>
    <row r="23" customFormat="false" ht="15" hidden="false" customHeight="false" outlineLevel="0" collapsed="false">
      <c r="A23" s="10" t="n">
        <v>19</v>
      </c>
      <c r="B23" s="11" t="s">
        <v>100</v>
      </c>
      <c r="C23" s="11" t="s">
        <v>109</v>
      </c>
      <c r="D23" s="11" t="s">
        <v>110</v>
      </c>
      <c r="E23" s="14" t="n">
        <v>1</v>
      </c>
      <c r="F23" s="10" t="s">
        <v>103</v>
      </c>
      <c r="G23" s="15" t="n">
        <v>45</v>
      </c>
      <c r="H23" s="16" t="n">
        <f aca="false">E23*G23</f>
        <v>45</v>
      </c>
      <c r="I23" s="11" t="s">
        <v>209</v>
      </c>
      <c r="J23" s="11" t="s">
        <v>206</v>
      </c>
      <c r="K23" s="19" t="s">
        <v>207</v>
      </c>
    </row>
    <row r="24" customFormat="false" ht="15" hidden="false" customHeight="false" outlineLevel="0" collapsed="false">
      <c r="A24" s="10" t="n">
        <v>20</v>
      </c>
      <c r="B24" s="11" t="s">
        <v>100</v>
      </c>
      <c r="C24" s="11" t="s">
        <v>112</v>
      </c>
      <c r="D24" s="11" t="s">
        <v>107</v>
      </c>
      <c r="E24" s="14" t="n">
        <v>5</v>
      </c>
      <c r="F24" s="10" t="s">
        <v>103</v>
      </c>
      <c r="G24" s="15" t="n">
        <v>38</v>
      </c>
      <c r="H24" s="16" t="n">
        <f aca="false">E24*G24</f>
        <v>190</v>
      </c>
      <c r="I24" s="11" t="s">
        <v>209</v>
      </c>
      <c r="J24" s="11" t="s">
        <v>206</v>
      </c>
      <c r="K24" s="19" t="s">
        <v>207</v>
      </c>
    </row>
    <row r="25" customFormat="false" ht="15" hidden="false" customHeight="false" outlineLevel="0" collapsed="false">
      <c r="A25" s="10" t="n">
        <v>21</v>
      </c>
      <c r="B25" s="11" t="s">
        <v>100</v>
      </c>
      <c r="C25" s="11" t="s">
        <v>114</v>
      </c>
      <c r="D25" s="11" t="s">
        <v>104</v>
      </c>
      <c r="E25" s="14" t="n">
        <v>15</v>
      </c>
      <c r="F25" s="10" t="s">
        <v>103</v>
      </c>
      <c r="G25" s="15" t="n">
        <v>35</v>
      </c>
      <c r="H25" s="16" t="n">
        <f aca="false">E25*G25</f>
        <v>525</v>
      </c>
      <c r="I25" s="11" t="s">
        <v>209</v>
      </c>
      <c r="J25" s="11" t="s">
        <v>206</v>
      </c>
      <c r="K25" s="19" t="s">
        <v>207</v>
      </c>
    </row>
    <row r="26" customFormat="false" ht="15" hidden="false" customHeight="false" outlineLevel="0" collapsed="false">
      <c r="A26" s="10" t="n">
        <v>22</v>
      </c>
      <c r="B26" s="11" t="s">
        <v>100</v>
      </c>
      <c r="C26" s="11" t="s">
        <v>116</v>
      </c>
      <c r="D26" s="11" t="s">
        <v>118</v>
      </c>
      <c r="E26" s="14" t="n">
        <v>36</v>
      </c>
      <c r="F26" s="10" t="s">
        <v>103</v>
      </c>
      <c r="G26" s="15" t="n">
        <v>25</v>
      </c>
      <c r="H26" s="16" t="n">
        <f aca="false">E26*G26</f>
        <v>900</v>
      </c>
      <c r="I26" s="11" t="s">
        <v>209</v>
      </c>
      <c r="J26" s="11" t="s">
        <v>206</v>
      </c>
      <c r="K26" s="19" t="s">
        <v>207</v>
      </c>
    </row>
    <row r="27" customFormat="false" ht="15" hidden="false" customHeight="false" outlineLevel="0" collapsed="false">
      <c r="A27" s="10" t="n">
        <v>23</v>
      </c>
      <c r="B27" s="11" t="s">
        <v>120</v>
      </c>
      <c r="C27" s="11" t="s">
        <v>121</v>
      </c>
      <c r="D27" s="11" t="s">
        <v>123</v>
      </c>
      <c r="E27" s="14" t="n">
        <v>6</v>
      </c>
      <c r="F27" s="10" t="s">
        <v>123</v>
      </c>
      <c r="G27" s="15" t="n">
        <v>8</v>
      </c>
      <c r="H27" s="16" t="n">
        <f aca="false">E27*G27</f>
        <v>48</v>
      </c>
      <c r="I27" s="11" t="s">
        <v>210</v>
      </c>
      <c r="J27" s="11" t="s">
        <v>206</v>
      </c>
      <c r="K27" s="19" t="s">
        <v>207</v>
      </c>
    </row>
    <row r="28" customFormat="false" ht="15" hidden="false" customHeight="false" outlineLevel="0" collapsed="false">
      <c r="A28" s="10" t="n">
        <v>24</v>
      </c>
      <c r="B28" s="11" t="s">
        <v>120</v>
      </c>
      <c r="C28" s="11" t="s">
        <v>125</v>
      </c>
      <c r="D28" s="11" t="s">
        <v>123</v>
      </c>
      <c r="E28" s="14" t="n">
        <v>2</v>
      </c>
      <c r="F28" s="10" t="s">
        <v>123</v>
      </c>
      <c r="G28" s="15" t="n">
        <v>5</v>
      </c>
      <c r="H28" s="16" t="n">
        <f aca="false">E28*G28</f>
        <v>10</v>
      </c>
      <c r="I28" s="11" t="s">
        <v>210</v>
      </c>
      <c r="J28" s="11" t="s">
        <v>206</v>
      </c>
      <c r="K28" s="19" t="s">
        <v>207</v>
      </c>
    </row>
    <row r="29" customFormat="false" ht="15" hidden="false" customHeight="false" outlineLevel="0" collapsed="false">
      <c r="A29" s="10" t="n">
        <v>25</v>
      </c>
      <c r="B29" s="11" t="s">
        <v>120</v>
      </c>
      <c r="C29" s="11" t="s">
        <v>126</v>
      </c>
      <c r="D29" s="11" t="s">
        <v>86</v>
      </c>
      <c r="E29" s="14" t="n">
        <v>3</v>
      </c>
      <c r="F29" s="10" t="s">
        <v>86</v>
      </c>
      <c r="G29" s="15" t="n">
        <v>25</v>
      </c>
      <c r="H29" s="16" t="n">
        <f aca="false">E29*G29</f>
        <v>75</v>
      </c>
      <c r="I29" s="11" t="s">
        <v>210</v>
      </c>
      <c r="J29" s="11" t="s">
        <v>206</v>
      </c>
      <c r="K29" s="19" t="s">
        <v>207</v>
      </c>
    </row>
    <row r="30" customFormat="false" ht="15" hidden="false" customHeight="false" outlineLevel="0" collapsed="false">
      <c r="A30" s="10" t="n">
        <v>26</v>
      </c>
      <c r="B30" s="11" t="s">
        <v>120</v>
      </c>
      <c r="C30" s="11" t="s">
        <v>128</v>
      </c>
      <c r="D30" s="11" t="s">
        <v>52</v>
      </c>
      <c r="E30" s="14" t="n">
        <v>1</v>
      </c>
      <c r="F30" s="10" t="s">
        <v>52</v>
      </c>
      <c r="G30" s="15" t="n">
        <v>35</v>
      </c>
      <c r="H30" s="16" t="n">
        <f aca="false">E30*G30</f>
        <v>35</v>
      </c>
      <c r="I30" s="11" t="s">
        <v>210</v>
      </c>
      <c r="J30" s="11" t="s">
        <v>206</v>
      </c>
      <c r="K30" s="19" t="s">
        <v>207</v>
      </c>
    </row>
    <row r="31" customFormat="false" ht="15" hidden="false" customHeight="false" outlineLevel="0" collapsed="false">
      <c r="A31" s="10" t="n">
        <v>27</v>
      </c>
      <c r="B31" s="11" t="s">
        <v>120</v>
      </c>
      <c r="C31" s="11" t="s">
        <v>129</v>
      </c>
      <c r="D31" s="11" t="s">
        <v>52</v>
      </c>
      <c r="E31" s="14" t="n">
        <v>2</v>
      </c>
      <c r="F31" s="10" t="s">
        <v>52</v>
      </c>
      <c r="G31" s="15" t="n">
        <v>12</v>
      </c>
      <c r="H31" s="16" t="n">
        <f aca="false">E31*G31</f>
        <v>24</v>
      </c>
      <c r="I31" s="11" t="s">
        <v>210</v>
      </c>
      <c r="J31" s="11" t="s">
        <v>206</v>
      </c>
      <c r="K31" s="19" t="s">
        <v>207</v>
      </c>
    </row>
    <row r="32" customFormat="false" ht="15" hidden="false" customHeight="false" outlineLevel="0" collapsed="false">
      <c r="A32" s="10" t="n">
        <v>28</v>
      </c>
      <c r="B32" s="11" t="s">
        <v>120</v>
      </c>
      <c r="C32" s="11" t="s">
        <v>130</v>
      </c>
      <c r="D32" s="11" t="s">
        <v>52</v>
      </c>
      <c r="E32" s="14" t="n">
        <v>8</v>
      </c>
      <c r="F32" s="10" t="s">
        <v>52</v>
      </c>
      <c r="G32" s="15" t="n">
        <v>8</v>
      </c>
      <c r="H32" s="16" t="n">
        <f aca="false">E32*G32</f>
        <v>64</v>
      </c>
      <c r="I32" s="11" t="s">
        <v>210</v>
      </c>
      <c r="J32" s="11" t="s">
        <v>206</v>
      </c>
      <c r="K32" s="19" t="s">
        <v>207</v>
      </c>
    </row>
    <row r="33" customFormat="false" ht="15" hidden="false" customHeight="false" outlineLevel="0" collapsed="false">
      <c r="A33" s="10" t="n">
        <v>29</v>
      </c>
      <c r="B33" s="11" t="s">
        <v>120</v>
      </c>
      <c r="C33" s="11" t="s">
        <v>131</v>
      </c>
      <c r="D33" s="11" t="s">
        <v>52</v>
      </c>
      <c r="E33" s="14" t="n">
        <v>20</v>
      </c>
      <c r="F33" s="10" t="s">
        <v>52</v>
      </c>
      <c r="G33" s="15" t="n">
        <v>1.5</v>
      </c>
      <c r="H33" s="16" t="n">
        <f aca="false">E33*G33</f>
        <v>30</v>
      </c>
      <c r="I33" s="11" t="s">
        <v>210</v>
      </c>
      <c r="J33" s="11" t="s">
        <v>206</v>
      </c>
      <c r="K33" s="19" t="s">
        <v>207</v>
      </c>
    </row>
    <row r="34" customFormat="false" ht="15" hidden="false" customHeight="false" outlineLevel="0" collapsed="false">
      <c r="A34" s="10" t="n">
        <v>30</v>
      </c>
      <c r="B34" s="11" t="s">
        <v>120</v>
      </c>
      <c r="C34" s="11" t="s">
        <v>133</v>
      </c>
      <c r="D34" s="11" t="s">
        <v>52</v>
      </c>
      <c r="E34" s="14" t="n">
        <v>10</v>
      </c>
      <c r="F34" s="10" t="s">
        <v>52</v>
      </c>
      <c r="G34" s="15" t="n">
        <v>35</v>
      </c>
      <c r="H34" s="16" t="n">
        <f aca="false">E34*G34</f>
        <v>350</v>
      </c>
      <c r="I34" s="11" t="s">
        <v>210</v>
      </c>
      <c r="J34" s="11" t="s">
        <v>206</v>
      </c>
      <c r="K34" s="19" t="s">
        <v>207</v>
      </c>
    </row>
    <row r="35" customFormat="false" ht="15" hidden="false" customHeight="false" outlineLevel="0" collapsed="false">
      <c r="A35" s="10" t="n">
        <v>31</v>
      </c>
      <c r="B35" s="11" t="s">
        <v>135</v>
      </c>
      <c r="C35" s="11" t="s">
        <v>136</v>
      </c>
      <c r="D35" s="11" t="s">
        <v>138</v>
      </c>
      <c r="E35" s="14" t="n">
        <v>48</v>
      </c>
      <c r="F35" s="10" t="s">
        <v>52</v>
      </c>
      <c r="G35" s="15" t="n">
        <v>15</v>
      </c>
      <c r="H35" s="16" t="n">
        <f aca="false">E35*G35</f>
        <v>720</v>
      </c>
      <c r="I35" s="11" t="s">
        <v>210</v>
      </c>
      <c r="J35" s="11" t="s">
        <v>206</v>
      </c>
      <c r="K35" s="19" t="s">
        <v>207</v>
      </c>
    </row>
    <row r="36" customFormat="false" ht="15" hidden="false" customHeight="false" outlineLevel="0" collapsed="false">
      <c r="A36" s="10" t="n">
        <v>32</v>
      </c>
      <c r="B36" s="11" t="s">
        <v>135</v>
      </c>
      <c r="C36" s="11" t="s">
        <v>139</v>
      </c>
      <c r="D36" s="11" t="s">
        <v>140</v>
      </c>
      <c r="E36" s="14" t="n">
        <v>2</v>
      </c>
      <c r="F36" s="10" t="s">
        <v>140</v>
      </c>
      <c r="G36" s="15" t="n">
        <v>90</v>
      </c>
      <c r="H36" s="16" t="n">
        <f aca="false">E36*G36</f>
        <v>180</v>
      </c>
      <c r="I36" s="11" t="s">
        <v>210</v>
      </c>
      <c r="J36" s="11" t="s">
        <v>206</v>
      </c>
      <c r="K36" s="19" t="s">
        <v>207</v>
      </c>
    </row>
    <row r="37" customFormat="false" ht="15" hidden="false" customHeight="false" outlineLevel="0" collapsed="false">
      <c r="A37" s="10" t="n">
        <v>33</v>
      </c>
      <c r="B37" s="11" t="s">
        <v>135</v>
      </c>
      <c r="C37" s="11" t="s">
        <v>141</v>
      </c>
      <c r="D37" s="11" t="s">
        <v>143</v>
      </c>
      <c r="E37" s="14" t="n">
        <v>24</v>
      </c>
      <c r="F37" s="10" t="s">
        <v>52</v>
      </c>
      <c r="G37" s="15" t="n">
        <v>15</v>
      </c>
      <c r="H37" s="16" t="n">
        <f aca="false">E37*G37</f>
        <v>360</v>
      </c>
      <c r="I37" s="11" t="s">
        <v>210</v>
      </c>
      <c r="J37" s="11" t="s">
        <v>206</v>
      </c>
      <c r="K37" s="19" t="s">
        <v>207</v>
      </c>
    </row>
    <row r="38" customFormat="false" ht="15" hidden="false" customHeight="false" outlineLevel="0" collapsed="false">
      <c r="A38" s="10" t="n">
        <v>34</v>
      </c>
      <c r="B38" s="11" t="s">
        <v>135</v>
      </c>
      <c r="C38" s="11" t="s">
        <v>144</v>
      </c>
      <c r="D38" s="11" t="s">
        <v>52</v>
      </c>
      <c r="E38" s="14" t="n">
        <v>12</v>
      </c>
      <c r="F38" s="10" t="s">
        <v>52</v>
      </c>
      <c r="G38" s="15" t="n">
        <v>5</v>
      </c>
      <c r="H38" s="16" t="n">
        <f aca="false">E38*G38</f>
        <v>60</v>
      </c>
      <c r="I38" s="11" t="s">
        <v>210</v>
      </c>
      <c r="J38" s="11" t="s">
        <v>206</v>
      </c>
      <c r="K38" s="19" t="s">
        <v>207</v>
      </c>
    </row>
    <row r="39" customFormat="false" ht="15" hidden="false" customHeight="false" outlineLevel="0" collapsed="false">
      <c r="A39" s="10" t="n">
        <v>35</v>
      </c>
      <c r="B39" s="11" t="s">
        <v>135</v>
      </c>
      <c r="C39" s="11" t="s">
        <v>146</v>
      </c>
      <c r="D39" s="11" t="s">
        <v>149</v>
      </c>
      <c r="E39" s="14" t="n">
        <v>2</v>
      </c>
      <c r="F39" s="10" t="s">
        <v>148</v>
      </c>
      <c r="G39" s="15" t="n">
        <v>30</v>
      </c>
      <c r="H39" s="16" t="n">
        <f aca="false">E39*G39</f>
        <v>60</v>
      </c>
      <c r="I39" s="11" t="s">
        <v>210</v>
      </c>
      <c r="J39" s="11" t="s">
        <v>206</v>
      </c>
      <c r="K39" s="19" t="s">
        <v>207</v>
      </c>
    </row>
    <row r="40" customFormat="false" ht="15" hidden="false" customHeight="false" outlineLevel="0" collapsed="false">
      <c r="A40" s="10" t="n">
        <v>36</v>
      </c>
      <c r="B40" s="11" t="s">
        <v>150</v>
      </c>
      <c r="C40" s="11" t="s">
        <v>151</v>
      </c>
      <c r="D40" s="11" t="s">
        <v>140</v>
      </c>
      <c r="E40" s="14" t="n">
        <v>2</v>
      </c>
      <c r="F40" s="10" t="s">
        <v>140</v>
      </c>
      <c r="G40" s="15" t="n">
        <v>22.5</v>
      </c>
      <c r="H40" s="16" t="n">
        <f aca="false">E40*G40</f>
        <v>45</v>
      </c>
      <c r="I40" s="11" t="s">
        <v>210</v>
      </c>
      <c r="J40" s="11" t="s">
        <v>206</v>
      </c>
      <c r="K40" s="19" t="s">
        <v>207</v>
      </c>
    </row>
    <row r="41" customFormat="false" ht="15" hidden="false" customHeight="false" outlineLevel="0" collapsed="false">
      <c r="A41" s="10" t="n">
        <v>37</v>
      </c>
      <c r="B41" s="11" t="s">
        <v>150</v>
      </c>
      <c r="C41" s="11" t="s">
        <v>153</v>
      </c>
      <c r="D41" s="11" t="s">
        <v>52</v>
      </c>
      <c r="E41" s="14" t="n">
        <v>3</v>
      </c>
      <c r="F41" s="10" t="s">
        <v>52</v>
      </c>
      <c r="G41" s="15" t="n">
        <v>10</v>
      </c>
      <c r="H41" s="16" t="n">
        <f aca="false">E41*G41</f>
        <v>30</v>
      </c>
      <c r="I41" s="11" t="s">
        <v>210</v>
      </c>
      <c r="J41" s="11" t="s">
        <v>206</v>
      </c>
      <c r="K41" s="19" t="s">
        <v>207</v>
      </c>
    </row>
    <row r="42" customFormat="false" ht="15" hidden="false" customHeight="false" outlineLevel="0" collapsed="false">
      <c r="A42" s="10" t="n">
        <v>38</v>
      </c>
      <c r="B42" s="11" t="s">
        <v>150</v>
      </c>
      <c r="C42" s="11" t="s">
        <v>154</v>
      </c>
      <c r="D42" s="11" t="s">
        <v>52</v>
      </c>
      <c r="E42" s="14" t="n">
        <v>1</v>
      </c>
      <c r="F42" s="10" t="s">
        <v>52</v>
      </c>
      <c r="G42" s="15" t="n">
        <v>40</v>
      </c>
      <c r="H42" s="16" t="n">
        <f aca="false">E42*G42</f>
        <v>40</v>
      </c>
      <c r="I42" s="11" t="s">
        <v>210</v>
      </c>
      <c r="J42" s="11" t="s">
        <v>206</v>
      </c>
      <c r="K42" s="19" t="s">
        <v>207</v>
      </c>
    </row>
    <row r="43" customFormat="false" ht="15" hidden="false" customHeight="false" outlineLevel="0" collapsed="false">
      <c r="A43" s="10" t="n">
        <v>39</v>
      </c>
      <c r="B43" s="11" t="s">
        <v>150</v>
      </c>
      <c r="C43" s="11" t="s">
        <v>155</v>
      </c>
      <c r="D43" s="11" t="s">
        <v>52</v>
      </c>
      <c r="E43" s="14" t="n">
        <v>1</v>
      </c>
      <c r="F43" s="10" t="s">
        <v>52</v>
      </c>
      <c r="G43" s="15" t="n">
        <v>30</v>
      </c>
      <c r="H43" s="16" t="n">
        <f aca="false">E43*G43</f>
        <v>30</v>
      </c>
      <c r="I43" s="11" t="s">
        <v>210</v>
      </c>
      <c r="J43" s="11" t="s">
        <v>206</v>
      </c>
      <c r="K43" s="19" t="s">
        <v>207</v>
      </c>
    </row>
    <row r="44" customFormat="false" ht="15" hidden="false" customHeight="false" outlineLevel="0" collapsed="false">
      <c r="A44" s="10" t="n">
        <v>40</v>
      </c>
      <c r="B44" s="11" t="s">
        <v>150</v>
      </c>
      <c r="C44" s="11" t="s">
        <v>156</v>
      </c>
      <c r="D44" s="11" t="s">
        <v>52</v>
      </c>
      <c r="E44" s="14" t="n">
        <v>1</v>
      </c>
      <c r="F44" s="10" t="s">
        <v>52</v>
      </c>
      <c r="G44" s="15" t="n">
        <v>100</v>
      </c>
      <c r="H44" s="16" t="n">
        <f aca="false">E44*G44</f>
        <v>100</v>
      </c>
      <c r="I44" s="11" t="s">
        <v>210</v>
      </c>
      <c r="J44" s="11" t="s">
        <v>206</v>
      </c>
      <c r="K44" s="19" t="s">
        <v>207</v>
      </c>
    </row>
    <row r="45" customFormat="false" ht="15" hidden="false" customHeight="false" outlineLevel="0" collapsed="false">
      <c r="A45" s="10" t="n">
        <v>41</v>
      </c>
      <c r="B45" s="11" t="s">
        <v>150</v>
      </c>
      <c r="C45" s="11" t="s">
        <v>157</v>
      </c>
      <c r="D45" s="11" t="s">
        <v>159</v>
      </c>
      <c r="E45" s="14" t="n">
        <v>1</v>
      </c>
      <c r="F45" s="10" t="s">
        <v>159</v>
      </c>
      <c r="G45" s="15" t="n">
        <v>35</v>
      </c>
      <c r="H45" s="16" t="n">
        <f aca="false">E45*G45</f>
        <v>35</v>
      </c>
      <c r="I45" s="11" t="s">
        <v>210</v>
      </c>
      <c r="J45" s="11" t="s">
        <v>206</v>
      </c>
      <c r="K45" s="19" t="s">
        <v>207</v>
      </c>
    </row>
    <row r="46" customFormat="false" ht="22.35" hidden="false" customHeight="false" outlineLevel="0" collapsed="false">
      <c r="A46" s="10" t="n">
        <v>42</v>
      </c>
      <c r="B46" s="11" t="s">
        <v>160</v>
      </c>
      <c r="C46" s="11" t="s">
        <v>161</v>
      </c>
      <c r="D46" s="11" t="s">
        <v>86</v>
      </c>
      <c r="E46" s="14" t="n">
        <v>1</v>
      </c>
      <c r="F46" s="10" t="s">
        <v>86</v>
      </c>
      <c r="G46" s="15" t="n">
        <v>280</v>
      </c>
      <c r="H46" s="16" t="n">
        <f aca="false">E46*G46</f>
        <v>280</v>
      </c>
      <c r="I46" s="11" t="s">
        <v>211</v>
      </c>
      <c r="J46" s="11" t="s">
        <v>206</v>
      </c>
      <c r="K46" s="19" t="s">
        <v>207</v>
      </c>
    </row>
    <row r="47" customFormat="false" ht="22.35" hidden="false" customHeight="false" outlineLevel="0" collapsed="false">
      <c r="A47" s="10" t="n">
        <v>43</v>
      </c>
      <c r="B47" s="11" t="s">
        <v>160</v>
      </c>
      <c r="C47" s="11" t="s">
        <v>163</v>
      </c>
      <c r="D47" s="11" t="s">
        <v>86</v>
      </c>
      <c r="E47" s="14" t="n">
        <v>1</v>
      </c>
      <c r="F47" s="10" t="s">
        <v>86</v>
      </c>
      <c r="G47" s="15" t="n">
        <v>450</v>
      </c>
      <c r="H47" s="16" t="n">
        <f aca="false">E47*G47</f>
        <v>450</v>
      </c>
      <c r="I47" s="11" t="s">
        <v>211</v>
      </c>
      <c r="J47" s="11" t="s">
        <v>206</v>
      </c>
      <c r="K47" s="19" t="s">
        <v>207</v>
      </c>
    </row>
    <row r="48" customFormat="false" ht="22.35" hidden="false" customHeight="false" outlineLevel="0" collapsed="false">
      <c r="A48" s="10" t="n">
        <v>44</v>
      </c>
      <c r="B48" s="11" t="s">
        <v>160</v>
      </c>
      <c r="C48" s="11" t="s">
        <v>164</v>
      </c>
      <c r="D48" s="11" t="s">
        <v>52</v>
      </c>
      <c r="E48" s="14" t="n">
        <v>2</v>
      </c>
      <c r="F48" s="10" t="s">
        <v>52</v>
      </c>
      <c r="G48" s="15" t="n">
        <v>30</v>
      </c>
      <c r="H48" s="16" t="n">
        <f aca="false">E48*G48</f>
        <v>60</v>
      </c>
      <c r="I48" s="11" t="s">
        <v>211</v>
      </c>
      <c r="J48" s="11" t="s">
        <v>206</v>
      </c>
      <c r="K48" s="19" t="s">
        <v>207</v>
      </c>
    </row>
    <row r="49" customFormat="false" ht="22.35" hidden="false" customHeight="false" outlineLevel="0" collapsed="false">
      <c r="A49" s="10" t="n">
        <v>45</v>
      </c>
      <c r="B49" s="11" t="s">
        <v>160</v>
      </c>
      <c r="C49" s="11" t="s">
        <v>166</v>
      </c>
      <c r="D49" s="11" t="s">
        <v>52</v>
      </c>
      <c r="E49" s="14" t="n">
        <v>2</v>
      </c>
      <c r="F49" s="10" t="s">
        <v>52</v>
      </c>
      <c r="G49" s="15" t="n">
        <v>12</v>
      </c>
      <c r="H49" s="16" t="n">
        <f aca="false">E49*G49</f>
        <v>24</v>
      </c>
      <c r="I49" s="11" t="s">
        <v>211</v>
      </c>
      <c r="J49" s="11" t="s">
        <v>206</v>
      </c>
      <c r="K49" s="19" t="s">
        <v>207</v>
      </c>
    </row>
    <row r="50" customFormat="false" ht="22.35" hidden="false" customHeight="false" outlineLevel="0" collapsed="false">
      <c r="A50" s="10" t="n">
        <v>46</v>
      </c>
      <c r="B50" s="11" t="s">
        <v>160</v>
      </c>
      <c r="C50" s="11" t="s">
        <v>168</v>
      </c>
      <c r="D50" s="11" t="s">
        <v>170</v>
      </c>
      <c r="E50" s="14" t="n">
        <v>4</v>
      </c>
      <c r="F50" s="10" t="s">
        <v>123</v>
      </c>
      <c r="G50" s="15" t="n">
        <v>80</v>
      </c>
      <c r="H50" s="16" t="n">
        <f aca="false">E50*G50</f>
        <v>320</v>
      </c>
      <c r="I50" s="11" t="s">
        <v>211</v>
      </c>
      <c r="J50" s="11" t="s">
        <v>206</v>
      </c>
      <c r="K50" s="19" t="s">
        <v>207</v>
      </c>
    </row>
    <row r="51" customFormat="false" ht="22.35" hidden="false" customHeight="false" outlineLevel="0" collapsed="false">
      <c r="A51" s="10" t="n">
        <v>47</v>
      </c>
      <c r="B51" s="11" t="s">
        <v>172</v>
      </c>
      <c r="C51" s="11" t="s">
        <v>173</v>
      </c>
      <c r="D51" s="11" t="s">
        <v>86</v>
      </c>
      <c r="E51" s="14" t="n">
        <v>8</v>
      </c>
      <c r="F51" s="10" t="s">
        <v>86</v>
      </c>
      <c r="G51" s="15" t="n">
        <v>200</v>
      </c>
      <c r="H51" s="16" t="n">
        <f aca="false">E51*G51</f>
        <v>1600</v>
      </c>
      <c r="I51" s="11" t="s">
        <v>212</v>
      </c>
      <c r="J51" s="11" t="s">
        <v>206</v>
      </c>
      <c r="K51" s="19" t="s">
        <v>213</v>
      </c>
    </row>
    <row r="52" customFormat="false" ht="22.35" hidden="false" customHeight="false" outlineLevel="0" collapsed="false">
      <c r="A52" s="10" t="n">
        <v>48</v>
      </c>
      <c r="B52" s="11" t="s">
        <v>176</v>
      </c>
      <c r="C52" s="11" t="s">
        <v>177</v>
      </c>
      <c r="D52" s="11" t="s">
        <v>181</v>
      </c>
      <c r="E52" s="14" t="n">
        <v>1380</v>
      </c>
      <c r="F52" s="10" t="s">
        <v>179</v>
      </c>
      <c r="G52" s="15" t="n">
        <v>16</v>
      </c>
      <c r="H52" s="16" t="n">
        <f aca="false">E52*G52</f>
        <v>22080</v>
      </c>
      <c r="I52" s="11" t="s">
        <v>214</v>
      </c>
      <c r="J52" s="11" t="s">
        <v>206</v>
      </c>
      <c r="K52" s="19" t="s">
        <v>207</v>
      </c>
    </row>
    <row r="53" customFormat="false" ht="15" hidden="false" customHeight="false" outlineLevel="0" collapsed="false">
      <c r="A53" s="10" t="n">
        <v>49</v>
      </c>
      <c r="B53" s="11" t="s">
        <v>183</v>
      </c>
      <c r="C53" s="11" t="s">
        <v>184</v>
      </c>
      <c r="D53" s="11" t="s">
        <v>186</v>
      </c>
      <c r="E53" s="14" t="n">
        <v>1</v>
      </c>
      <c r="F53" s="10" t="s">
        <v>186</v>
      </c>
      <c r="G53" s="15" t="n">
        <v>1120</v>
      </c>
      <c r="H53" s="16" t="n">
        <f aca="false">E53*G53</f>
        <v>1120</v>
      </c>
      <c r="I53" s="11" t="s">
        <v>208</v>
      </c>
      <c r="J53" s="11" t="s">
        <v>206</v>
      </c>
      <c r="K53" s="19" t="s">
        <v>207</v>
      </c>
    </row>
    <row r="54" customFormat="false" ht="15" hidden="false" customHeight="false" outlineLevel="0" collapsed="false">
      <c r="A54" s="10" t="n">
        <v>50</v>
      </c>
      <c r="B54" s="11" t="s">
        <v>183</v>
      </c>
      <c r="C54" s="11" t="s">
        <v>188</v>
      </c>
      <c r="D54" s="11" t="s">
        <v>186</v>
      </c>
      <c r="E54" s="14" t="n">
        <v>1</v>
      </c>
      <c r="F54" s="10" t="s">
        <v>186</v>
      </c>
      <c r="G54" s="15" t="n">
        <v>660</v>
      </c>
      <c r="H54" s="16" t="n">
        <f aca="false">E54*G54</f>
        <v>660</v>
      </c>
      <c r="I54" s="11" t="s">
        <v>208</v>
      </c>
      <c r="J54" s="11" t="s">
        <v>206</v>
      </c>
      <c r="K54" s="19" t="s">
        <v>207</v>
      </c>
    </row>
    <row r="55" customFormat="false" ht="15" hidden="false" customHeight="false" outlineLevel="0" collapsed="false">
      <c r="A55" s="10" t="n">
        <v>51</v>
      </c>
      <c r="B55" s="11" t="s">
        <v>183</v>
      </c>
      <c r="C55" s="11" t="s">
        <v>189</v>
      </c>
      <c r="D55" s="11" t="s">
        <v>186</v>
      </c>
      <c r="E55" s="14" t="n">
        <v>2</v>
      </c>
      <c r="F55" s="10" t="s">
        <v>186</v>
      </c>
      <c r="G55" s="15" t="n">
        <v>300</v>
      </c>
      <c r="H55" s="16" t="n">
        <f aca="false">E55*G55</f>
        <v>600</v>
      </c>
      <c r="I55" s="11" t="s">
        <v>208</v>
      </c>
      <c r="J55" s="11" t="s">
        <v>206</v>
      </c>
      <c r="K55" s="19" t="s">
        <v>207</v>
      </c>
    </row>
    <row r="56" customFormat="false" ht="15" hidden="false" customHeight="false" outlineLevel="0" collapsed="false">
      <c r="A56" s="10" t="n">
        <v>52</v>
      </c>
      <c r="B56" s="11" t="s">
        <v>135</v>
      </c>
      <c r="C56" s="11" t="s">
        <v>191</v>
      </c>
      <c r="D56" s="11" t="s">
        <v>193</v>
      </c>
      <c r="E56" s="14" t="n">
        <v>2</v>
      </c>
      <c r="F56" s="10" t="s">
        <v>193</v>
      </c>
      <c r="G56" s="15" t="n">
        <v>10</v>
      </c>
      <c r="H56" s="16" t="n">
        <f aca="false">E56*G56</f>
        <v>20</v>
      </c>
      <c r="I56" s="11" t="s">
        <v>210</v>
      </c>
      <c r="J56" s="11" t="s">
        <v>206</v>
      </c>
      <c r="K56" s="19" t="s">
        <v>207</v>
      </c>
    </row>
    <row r="57" customFormat="false" ht="15" hidden="false" customHeight="false" outlineLevel="0" collapsed="false">
      <c r="G57" s="5" t="s">
        <v>215</v>
      </c>
      <c r="H57" s="18" t="n">
        <f aca="false">SUM(H5:H56)</f>
        <v>50507</v>
      </c>
    </row>
  </sheetData>
  <autoFilter ref="A4:K56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55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216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9" t="s">
        <v>35</v>
      </c>
      <c r="B3" s="9" t="s">
        <v>217</v>
      </c>
      <c r="C3" s="9" t="s">
        <v>218</v>
      </c>
      <c r="D3" s="9" t="s">
        <v>219</v>
      </c>
      <c r="E3" s="9" t="s">
        <v>220</v>
      </c>
      <c r="F3" s="9" t="s">
        <v>221</v>
      </c>
    </row>
    <row r="4" customFormat="false" ht="34.5" hidden="false" customHeight="true" outlineLevel="0" collapsed="false">
      <c r="A4" s="10" t="n">
        <v>1</v>
      </c>
      <c r="B4" s="20" t="s">
        <v>222</v>
      </c>
      <c r="C4" s="11" t="s">
        <v>223</v>
      </c>
      <c r="D4" s="11" t="s">
        <v>224</v>
      </c>
      <c r="E4" s="11" t="s">
        <v>225</v>
      </c>
      <c r="F4" s="10" t="s">
        <v>226</v>
      </c>
    </row>
    <row r="5" customFormat="false" ht="34.5" hidden="false" customHeight="true" outlineLevel="0" collapsed="false">
      <c r="A5" s="10" t="n">
        <v>2</v>
      </c>
      <c r="B5" s="20" t="s">
        <v>222</v>
      </c>
      <c r="C5" s="11" t="s">
        <v>227</v>
      </c>
      <c r="D5" s="11" t="s">
        <v>228</v>
      </c>
      <c r="E5" s="11" t="s">
        <v>229</v>
      </c>
      <c r="F5" s="10" t="s">
        <v>226</v>
      </c>
    </row>
    <row r="6" customFormat="false" ht="34.5" hidden="false" customHeight="true" outlineLevel="0" collapsed="false">
      <c r="A6" s="10" t="n">
        <v>3</v>
      </c>
      <c r="B6" s="20" t="s">
        <v>222</v>
      </c>
      <c r="C6" s="11" t="s">
        <v>230</v>
      </c>
      <c r="D6" s="11" t="s">
        <v>231</v>
      </c>
      <c r="E6" s="11" t="s">
        <v>232</v>
      </c>
      <c r="F6" s="10" t="s">
        <v>226</v>
      </c>
    </row>
    <row r="7" customFormat="false" ht="34.5" hidden="false" customHeight="true" outlineLevel="0" collapsed="false">
      <c r="A7" s="10" t="n">
        <v>4</v>
      </c>
      <c r="B7" s="21" t="s">
        <v>233</v>
      </c>
      <c r="C7" s="11" t="s">
        <v>234</v>
      </c>
      <c r="D7" s="11" t="s">
        <v>235</v>
      </c>
      <c r="E7" s="11" t="s">
        <v>236</v>
      </c>
      <c r="F7" s="10" t="s">
        <v>237</v>
      </c>
    </row>
    <row r="8" customFormat="false" ht="34.5" hidden="false" customHeight="true" outlineLevel="0" collapsed="false">
      <c r="A8" s="10" t="n">
        <v>5</v>
      </c>
      <c r="B8" s="21" t="s">
        <v>233</v>
      </c>
      <c r="C8" s="11" t="s">
        <v>238</v>
      </c>
      <c r="D8" s="11" t="s">
        <v>239</v>
      </c>
      <c r="E8" s="11" t="s">
        <v>240</v>
      </c>
      <c r="F8" s="10" t="s">
        <v>241</v>
      </c>
    </row>
    <row r="9" customFormat="false" ht="34.5" hidden="false" customHeight="true" outlineLevel="0" collapsed="false">
      <c r="A9" s="10" t="n">
        <v>6</v>
      </c>
      <c r="B9" s="21" t="s">
        <v>233</v>
      </c>
      <c r="C9" s="11" t="s">
        <v>242</v>
      </c>
      <c r="D9" s="11" t="s">
        <v>243</v>
      </c>
      <c r="E9" s="11" t="s">
        <v>244</v>
      </c>
      <c r="F9" s="10" t="s">
        <v>226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22" t="s">
        <v>245</v>
      </c>
    </row>
    <row r="3" customFormat="false" ht="27.75" hidden="false" customHeight="true" outlineLevel="0" collapsed="false">
      <c r="A3" s="9" t="s">
        <v>35</v>
      </c>
      <c r="B3" s="9" t="s">
        <v>37</v>
      </c>
      <c r="C3" s="9" t="s">
        <v>246</v>
      </c>
      <c r="D3" s="9" t="s">
        <v>247</v>
      </c>
      <c r="E3" s="9" t="s">
        <v>248</v>
      </c>
    </row>
    <row r="4" customFormat="false" ht="15" hidden="false" customHeight="false" outlineLevel="0" collapsed="false">
      <c r="A4" s="10" t="n">
        <v>1</v>
      </c>
      <c r="B4" s="11" t="s">
        <v>249</v>
      </c>
      <c r="C4" s="11" t="s">
        <v>250</v>
      </c>
      <c r="D4" s="23" t="s">
        <v>251</v>
      </c>
      <c r="E4" s="11" t="s">
        <v>252</v>
      </c>
    </row>
    <row r="5" customFormat="false" ht="15" hidden="false" customHeight="false" outlineLevel="0" collapsed="false">
      <c r="A5" s="10" t="n">
        <v>2</v>
      </c>
      <c r="B5" s="11" t="s">
        <v>253</v>
      </c>
      <c r="C5" s="11" t="s">
        <v>254</v>
      </c>
      <c r="D5" s="23" t="s">
        <v>255</v>
      </c>
      <c r="E5" s="11" t="s">
        <v>252</v>
      </c>
    </row>
    <row r="6" customFormat="false" ht="15" hidden="false" customHeight="false" outlineLevel="0" collapsed="false">
      <c r="A6" s="10" t="n">
        <v>3</v>
      </c>
      <c r="B6" s="11" t="s">
        <v>256</v>
      </c>
      <c r="C6" s="11" t="s">
        <v>257</v>
      </c>
      <c r="D6" s="23" t="s">
        <v>258</v>
      </c>
      <c r="E6" s="11" t="s">
        <v>259</v>
      </c>
    </row>
    <row r="7" customFormat="false" ht="15" hidden="false" customHeight="false" outlineLevel="0" collapsed="false">
      <c r="A7" s="10" t="n">
        <v>4</v>
      </c>
      <c r="B7" s="11" t="s">
        <v>260</v>
      </c>
      <c r="C7" s="11" t="s">
        <v>261</v>
      </c>
      <c r="D7" s="23" t="s">
        <v>262</v>
      </c>
      <c r="E7" s="11" t="s">
        <v>259</v>
      </c>
    </row>
    <row r="8" customFormat="false" ht="15" hidden="false" customHeight="false" outlineLevel="0" collapsed="false">
      <c r="A8" s="10" t="n">
        <v>5</v>
      </c>
      <c r="B8" s="11" t="s">
        <v>263</v>
      </c>
      <c r="C8" s="11" t="s">
        <v>264</v>
      </c>
      <c r="D8" s="23" t="s">
        <v>265</v>
      </c>
      <c r="E8" s="11" t="s">
        <v>266</v>
      </c>
    </row>
    <row r="9" customFormat="false" ht="15" hidden="false" customHeight="false" outlineLevel="0" collapsed="false">
      <c r="A9" s="10" t="n">
        <v>6</v>
      </c>
      <c r="B9" s="11" t="s">
        <v>267</v>
      </c>
      <c r="C9" s="11" t="s">
        <v>268</v>
      </c>
      <c r="D9" s="23" t="s">
        <v>269</v>
      </c>
      <c r="E9" s="11" t="s">
        <v>270</v>
      </c>
    </row>
    <row r="10" customFormat="false" ht="15" hidden="false" customHeight="false" outlineLevel="0" collapsed="false">
      <c r="A10" s="10" t="n">
        <v>7</v>
      </c>
      <c r="B10" s="11" t="s">
        <v>271</v>
      </c>
      <c r="C10" s="11" t="s">
        <v>272</v>
      </c>
      <c r="D10" s="23" t="s">
        <v>273</v>
      </c>
      <c r="E10" s="11" t="s">
        <v>274</v>
      </c>
    </row>
    <row r="11" customFormat="false" ht="15" hidden="false" customHeight="false" outlineLevel="0" collapsed="false">
      <c r="A11" s="10" t="n">
        <v>8</v>
      </c>
      <c r="B11" s="11" t="s">
        <v>275</v>
      </c>
      <c r="C11" s="11" t="s">
        <v>276</v>
      </c>
      <c r="D11" s="23" t="s">
        <v>277</v>
      </c>
      <c r="E11" s="11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6" min="5" style="0" width="35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279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280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9" t="s">
        <v>198</v>
      </c>
      <c r="B4" s="9" t="s">
        <v>281</v>
      </c>
      <c r="C4" s="9" t="s">
        <v>282</v>
      </c>
      <c r="D4" s="9" t="s">
        <v>283</v>
      </c>
      <c r="E4" s="9" t="s">
        <v>284</v>
      </c>
      <c r="F4" s="9" t="s">
        <v>285</v>
      </c>
      <c r="G4" s="9" t="s">
        <v>286</v>
      </c>
    </row>
    <row r="5" customFormat="false" ht="34.5" hidden="false" customHeight="true" outlineLevel="0" collapsed="false">
      <c r="A5" s="11" t="s">
        <v>287</v>
      </c>
      <c r="B5" s="24" t="s">
        <v>288</v>
      </c>
      <c r="C5" s="25" t="s">
        <v>289</v>
      </c>
      <c r="D5" s="11" t="s">
        <v>290</v>
      </c>
      <c r="E5" s="11" t="s">
        <v>291</v>
      </c>
      <c r="F5" s="26" t="s">
        <v>292</v>
      </c>
      <c r="G5" s="27" t="s">
        <v>293</v>
      </c>
    </row>
    <row r="6" customFormat="false" ht="34.5" hidden="false" customHeight="true" outlineLevel="0" collapsed="false">
      <c r="A6" s="11" t="s">
        <v>287</v>
      </c>
      <c r="B6" s="24" t="s">
        <v>294</v>
      </c>
      <c r="C6" s="11" t="s">
        <v>295</v>
      </c>
      <c r="D6" s="11" t="s">
        <v>296</v>
      </c>
      <c r="E6" s="11" t="s">
        <v>297</v>
      </c>
      <c r="F6" s="26" t="s">
        <v>292</v>
      </c>
      <c r="G6" s="27" t="s">
        <v>298</v>
      </c>
    </row>
    <row r="7" customFormat="false" ht="34.5" hidden="false" customHeight="true" outlineLevel="0" collapsed="false">
      <c r="A7" s="11" t="s">
        <v>287</v>
      </c>
      <c r="B7" s="24" t="s">
        <v>299</v>
      </c>
      <c r="C7" s="25" t="s">
        <v>289</v>
      </c>
      <c r="D7" s="11" t="s">
        <v>300</v>
      </c>
      <c r="E7" s="11" t="s">
        <v>301</v>
      </c>
      <c r="F7" s="26" t="s">
        <v>292</v>
      </c>
      <c r="G7" s="27" t="s">
        <v>302</v>
      </c>
    </row>
    <row r="8" customFormat="false" ht="34.5" hidden="false" customHeight="true" outlineLevel="0" collapsed="false">
      <c r="A8" s="11" t="s">
        <v>287</v>
      </c>
      <c r="B8" s="24" t="s">
        <v>303</v>
      </c>
      <c r="C8" s="25" t="s">
        <v>289</v>
      </c>
      <c r="D8" s="11" t="s">
        <v>304</v>
      </c>
      <c r="E8" s="11" t="s">
        <v>305</v>
      </c>
      <c r="F8" s="26" t="s">
        <v>292</v>
      </c>
      <c r="G8" s="27" t="s">
        <v>302</v>
      </c>
    </row>
    <row r="9" customFormat="false" ht="34.5" hidden="false" customHeight="true" outlineLevel="0" collapsed="false">
      <c r="A9" s="11" t="s">
        <v>100</v>
      </c>
      <c r="B9" s="24" t="s">
        <v>306</v>
      </c>
      <c r="C9" s="11" t="s">
        <v>307</v>
      </c>
      <c r="D9" s="11" t="s">
        <v>308</v>
      </c>
      <c r="E9" s="11" t="s">
        <v>309</v>
      </c>
      <c r="F9" s="25" t="s">
        <v>310</v>
      </c>
      <c r="G9" s="27" t="s">
        <v>311</v>
      </c>
    </row>
    <row r="10" customFormat="false" ht="34.5" hidden="false" customHeight="true" outlineLevel="0" collapsed="false">
      <c r="A10" s="11" t="s">
        <v>100</v>
      </c>
      <c r="B10" s="24" t="s">
        <v>312</v>
      </c>
      <c r="C10" s="11" t="s">
        <v>313</v>
      </c>
      <c r="D10" s="11" t="s">
        <v>314</v>
      </c>
      <c r="E10" s="11" t="s">
        <v>315</v>
      </c>
      <c r="F10" s="25" t="s">
        <v>310</v>
      </c>
      <c r="G10" s="27" t="s">
        <v>316</v>
      </c>
    </row>
    <row r="11" customFormat="false" ht="34.5" hidden="false" customHeight="true" outlineLevel="0" collapsed="false">
      <c r="A11" s="11" t="s">
        <v>100</v>
      </c>
      <c r="B11" s="24" t="s">
        <v>317</v>
      </c>
      <c r="C11" s="25" t="s">
        <v>289</v>
      </c>
      <c r="D11" s="11" t="s">
        <v>318</v>
      </c>
      <c r="E11" s="11" t="s">
        <v>319</v>
      </c>
      <c r="F11" s="25" t="s">
        <v>310</v>
      </c>
      <c r="G11" s="27" t="s">
        <v>320</v>
      </c>
    </row>
    <row r="12" customFormat="false" ht="34.5" hidden="false" customHeight="true" outlineLevel="0" collapsed="false">
      <c r="A12" s="11" t="s">
        <v>160</v>
      </c>
      <c r="B12" s="24" t="s">
        <v>321</v>
      </c>
      <c r="C12" s="11" t="s">
        <v>322</v>
      </c>
      <c r="D12" s="11" t="s">
        <v>323</v>
      </c>
      <c r="E12" s="11" t="s">
        <v>324</v>
      </c>
      <c r="F12" s="25" t="s">
        <v>325</v>
      </c>
      <c r="G12" s="27" t="s">
        <v>326</v>
      </c>
    </row>
    <row r="13" customFormat="false" ht="34.5" hidden="false" customHeight="true" outlineLevel="0" collapsed="false">
      <c r="A13" s="11" t="s">
        <v>160</v>
      </c>
      <c r="B13" s="24" t="s">
        <v>327</v>
      </c>
      <c r="C13" s="11" t="s">
        <v>328</v>
      </c>
      <c r="D13" s="11" t="s">
        <v>329</v>
      </c>
      <c r="E13" s="11" t="s">
        <v>330</v>
      </c>
      <c r="F13" s="25" t="s">
        <v>331</v>
      </c>
      <c r="G13" s="27" t="s">
        <v>332</v>
      </c>
    </row>
    <row r="14" customFormat="false" ht="34.5" hidden="false" customHeight="true" outlineLevel="0" collapsed="false">
      <c r="A14" s="11" t="s">
        <v>176</v>
      </c>
      <c r="B14" s="24" t="s">
        <v>333</v>
      </c>
      <c r="C14" s="11" t="s">
        <v>334</v>
      </c>
      <c r="D14" s="11" t="s">
        <v>335</v>
      </c>
      <c r="E14" s="11" t="s">
        <v>336</v>
      </c>
      <c r="F14" s="25" t="s">
        <v>331</v>
      </c>
      <c r="G14" s="27" t="s">
        <v>337</v>
      </c>
    </row>
    <row r="15" customFormat="false" ht="34.5" hidden="false" customHeight="true" outlineLevel="0" collapsed="false">
      <c r="A15" s="11" t="s">
        <v>176</v>
      </c>
      <c r="B15" s="24" t="s">
        <v>338</v>
      </c>
      <c r="C15" s="11" t="s">
        <v>339</v>
      </c>
      <c r="D15" s="11" t="s">
        <v>340</v>
      </c>
      <c r="E15" s="11" t="s">
        <v>341</v>
      </c>
      <c r="F15" s="25" t="s">
        <v>331</v>
      </c>
      <c r="G15" s="27" t="s">
        <v>337</v>
      </c>
    </row>
    <row r="16" customFormat="false" ht="34.5" hidden="false" customHeight="true" outlineLevel="0" collapsed="false">
      <c r="A16" s="11" t="s">
        <v>172</v>
      </c>
      <c r="B16" s="24" t="s">
        <v>342</v>
      </c>
      <c r="C16" s="25" t="s">
        <v>289</v>
      </c>
      <c r="D16" s="11" t="s">
        <v>343</v>
      </c>
      <c r="E16" s="11" t="s">
        <v>344</v>
      </c>
      <c r="F16" s="26" t="s">
        <v>345</v>
      </c>
      <c r="G16" s="27" t="s">
        <v>293</v>
      </c>
    </row>
    <row r="17" customFormat="false" ht="34.5" hidden="false" customHeight="true" outlineLevel="0" collapsed="false">
      <c r="A17" s="11" t="s">
        <v>172</v>
      </c>
      <c r="B17" s="24" t="s">
        <v>346</v>
      </c>
      <c r="C17" s="25" t="s">
        <v>289</v>
      </c>
      <c r="D17" s="11" t="s">
        <v>347</v>
      </c>
      <c r="E17" s="11" t="s">
        <v>348</v>
      </c>
      <c r="F17" s="25" t="s">
        <v>349</v>
      </c>
      <c r="G17" s="27" t="s">
        <v>350</v>
      </c>
    </row>
    <row r="18" customFormat="false" ht="34.5" hidden="false" customHeight="true" outlineLevel="0" collapsed="false">
      <c r="A18" s="11" t="s">
        <v>49</v>
      </c>
      <c r="B18" s="24" t="s">
        <v>351</v>
      </c>
      <c r="C18" s="25" t="s">
        <v>289</v>
      </c>
      <c r="D18" s="11" t="s">
        <v>352</v>
      </c>
      <c r="E18" s="11" t="s">
        <v>353</v>
      </c>
      <c r="F18" s="26" t="s">
        <v>292</v>
      </c>
      <c r="G18" s="27" t="s">
        <v>302</v>
      </c>
    </row>
    <row r="20" customFormat="false" ht="15" hidden="false" customHeight="false" outlineLevel="0" collapsed="false">
      <c r="A20" s="2" t="s">
        <v>354</v>
      </c>
      <c r="B20" s="2"/>
      <c r="C20" s="2"/>
      <c r="D20" s="2"/>
      <c r="E20" s="2"/>
      <c r="F20" s="2"/>
      <c r="G20" s="2"/>
    </row>
    <row r="21" customFormat="false" ht="15" hidden="false" customHeight="false" outlineLevel="0" collapsed="false">
      <c r="A21" s="2" t="s">
        <v>355</v>
      </c>
      <c r="B21" s="2"/>
      <c r="C21" s="2"/>
      <c r="D21" s="2"/>
      <c r="E21" s="2"/>
      <c r="F21" s="2"/>
      <c r="G21" s="2"/>
    </row>
  </sheetData>
  <mergeCells count="4">
    <mergeCell ref="A1:G1"/>
    <mergeCell ref="A2:G2"/>
    <mergeCell ref="A20:G20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22" t="s">
        <v>356</v>
      </c>
    </row>
    <row r="3" customFormat="false" ht="27.75" hidden="false" customHeight="true" outlineLevel="0" collapsed="false">
      <c r="A3" s="9" t="s">
        <v>357</v>
      </c>
      <c r="B3" s="9" t="s">
        <v>358</v>
      </c>
      <c r="C3" s="9" t="s">
        <v>359</v>
      </c>
      <c r="D3" s="9" t="s">
        <v>360</v>
      </c>
    </row>
    <row r="4" customFormat="false" ht="15" hidden="false" customHeight="false" outlineLevel="0" collapsed="false">
      <c r="A4" s="11" t="s">
        <v>361</v>
      </c>
      <c r="B4" s="11" t="s">
        <v>362</v>
      </c>
      <c r="C4" s="11" t="s">
        <v>363</v>
      </c>
      <c r="D4" s="11" t="s">
        <v>364</v>
      </c>
    </row>
    <row r="5" customFormat="false" ht="15" hidden="false" customHeight="false" outlineLevel="0" collapsed="false">
      <c r="A5" s="11" t="s">
        <v>361</v>
      </c>
      <c r="B5" s="11" t="s">
        <v>365</v>
      </c>
      <c r="C5" s="11" t="s">
        <v>366</v>
      </c>
      <c r="D5" s="11" t="s">
        <v>367</v>
      </c>
    </row>
    <row r="6" customFormat="false" ht="15" hidden="false" customHeight="false" outlineLevel="0" collapsed="false">
      <c r="A6" s="11" t="s">
        <v>361</v>
      </c>
      <c r="B6" s="11" t="s">
        <v>368</v>
      </c>
      <c r="C6" s="11" t="s">
        <v>369</v>
      </c>
      <c r="D6" s="11" t="s">
        <v>370</v>
      </c>
    </row>
    <row r="7" customFormat="false" ht="15" hidden="false" customHeight="false" outlineLevel="0" collapsed="false">
      <c r="A7" s="11" t="s">
        <v>361</v>
      </c>
      <c r="B7" s="11" t="s">
        <v>368</v>
      </c>
      <c r="C7" s="11" t="s">
        <v>371</v>
      </c>
      <c r="D7" s="11" t="s">
        <v>372</v>
      </c>
    </row>
    <row r="8" customFormat="false" ht="15" hidden="false" customHeight="false" outlineLevel="0" collapsed="false">
      <c r="A8" s="11" t="s">
        <v>373</v>
      </c>
      <c r="B8" s="11" t="s">
        <v>374</v>
      </c>
      <c r="C8" s="11" t="s">
        <v>375</v>
      </c>
      <c r="D8" s="11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5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22" t="s">
        <v>377</v>
      </c>
    </row>
    <row r="3" customFormat="false" ht="27.75" hidden="false" customHeight="true" outlineLevel="0" collapsed="false">
      <c r="A3" s="9" t="s">
        <v>35</v>
      </c>
      <c r="B3" s="9" t="s">
        <v>378</v>
      </c>
      <c r="C3" s="9" t="s">
        <v>379</v>
      </c>
    </row>
    <row r="4" customFormat="false" ht="15" hidden="false" customHeight="false" outlineLevel="0" collapsed="false">
      <c r="A4" s="28" t="n">
        <v>1</v>
      </c>
      <c r="B4" s="28" t="s">
        <v>380</v>
      </c>
      <c r="C4" s="29" t="s">
        <v>381</v>
      </c>
    </row>
    <row r="5" customFormat="false" ht="15" hidden="false" customHeight="false" outlineLevel="0" collapsed="false">
      <c r="A5" s="28" t="n">
        <v>2</v>
      </c>
      <c r="B5" s="28" t="s">
        <v>382</v>
      </c>
      <c r="C5" s="29" t="s">
        <v>381</v>
      </c>
    </row>
    <row r="6" customFormat="false" ht="15" hidden="false" customHeight="false" outlineLevel="0" collapsed="false">
      <c r="A6" s="28" t="n">
        <v>3</v>
      </c>
      <c r="B6" s="28" t="s">
        <v>383</v>
      </c>
      <c r="C6" s="29" t="s">
        <v>381</v>
      </c>
    </row>
    <row r="7" customFormat="false" ht="15" hidden="false" customHeight="false" outlineLevel="0" collapsed="false">
      <c r="A7" s="28" t="n">
        <v>4</v>
      </c>
      <c r="B7" s="28" t="s">
        <v>384</v>
      </c>
      <c r="C7" s="29" t="s">
        <v>381</v>
      </c>
    </row>
    <row r="8" customFormat="false" ht="15" hidden="false" customHeight="false" outlineLevel="0" collapsed="false">
      <c r="A8" s="28" t="n">
        <v>5</v>
      </c>
      <c r="B8" s="28" t="s">
        <v>385</v>
      </c>
      <c r="C8" s="29" t="s">
        <v>381</v>
      </c>
    </row>
    <row r="9" customFormat="false" ht="15" hidden="false" customHeight="false" outlineLevel="0" collapsed="false">
      <c r="A9" s="28" t="n">
        <v>6</v>
      </c>
      <c r="B9" s="28" t="s">
        <v>386</v>
      </c>
      <c r="C9" s="29" t="s">
        <v>381</v>
      </c>
    </row>
    <row r="10" customFormat="false" ht="15" hidden="false" customHeight="false" outlineLevel="0" collapsed="false">
      <c r="A10" s="28" t="n">
        <v>7</v>
      </c>
      <c r="B10" s="28" t="s">
        <v>387</v>
      </c>
      <c r="C10" s="29" t="s">
        <v>381</v>
      </c>
    </row>
    <row r="11" customFormat="false" ht="15" hidden="false" customHeight="false" outlineLevel="0" collapsed="false">
      <c r="A11" s="28" t="n">
        <v>8</v>
      </c>
      <c r="B11" s="28" t="s">
        <v>388</v>
      </c>
      <c r="C11" s="29" t="s">
        <v>381</v>
      </c>
    </row>
    <row r="12" customFormat="false" ht="15" hidden="false" customHeight="false" outlineLevel="0" collapsed="false">
      <c r="A12" s="28" t="n">
        <v>9</v>
      </c>
      <c r="B12" s="28" t="s">
        <v>389</v>
      </c>
      <c r="C12" s="29" t="s">
        <v>381</v>
      </c>
    </row>
    <row r="13" customFormat="false" ht="15" hidden="false" customHeight="false" outlineLevel="0" collapsed="false">
      <c r="A13" s="28" t="n">
        <v>10</v>
      </c>
      <c r="B13" s="28" t="s">
        <v>390</v>
      </c>
      <c r="C13" s="29" t="s">
        <v>381</v>
      </c>
    </row>
    <row r="14" customFormat="false" ht="15" hidden="false" customHeight="false" outlineLevel="0" collapsed="false">
      <c r="A14" s="28" t="n">
        <v>11</v>
      </c>
      <c r="B14" s="28" t="s">
        <v>391</v>
      </c>
      <c r="C14" s="29" t="s">
        <v>381</v>
      </c>
    </row>
    <row r="15" customFormat="false" ht="15" hidden="false" customHeight="false" outlineLevel="0" collapsed="false">
      <c r="A15" s="28" t="n">
        <v>12</v>
      </c>
      <c r="B15" s="28" t="s">
        <v>392</v>
      </c>
      <c r="C15" s="29" t="s">
        <v>381</v>
      </c>
    </row>
    <row r="16" customFormat="false" ht="15" hidden="false" customHeight="false" outlineLevel="0" collapsed="false">
      <c r="A16" s="28" t="n">
        <v>13</v>
      </c>
      <c r="B16" s="28" t="s">
        <v>393</v>
      </c>
      <c r="C16" s="29" t="s">
        <v>381</v>
      </c>
    </row>
    <row r="17" customFormat="false" ht="15" hidden="false" customHeight="false" outlineLevel="0" collapsed="false">
      <c r="A17" s="28" t="n">
        <v>14</v>
      </c>
      <c r="B17" s="28" t="s">
        <v>394</v>
      </c>
      <c r="C17" s="29" t="s">
        <v>381</v>
      </c>
    </row>
    <row r="18" customFormat="false" ht="15" hidden="false" customHeight="false" outlineLevel="0" collapsed="false">
      <c r="A18" s="28" t="n">
        <v>15</v>
      </c>
      <c r="B18" s="28" t="s">
        <v>395</v>
      </c>
      <c r="C18" s="29" t="s">
        <v>381</v>
      </c>
    </row>
    <row r="19" customFormat="false" ht="15" hidden="false" customHeight="false" outlineLevel="0" collapsed="false">
      <c r="A19" s="28" t="n">
        <v>16</v>
      </c>
      <c r="B19" s="28" t="s">
        <v>396</v>
      </c>
      <c r="C19" s="29" t="s">
        <v>381</v>
      </c>
    </row>
    <row r="20" customFormat="false" ht="15" hidden="false" customHeight="false" outlineLevel="0" collapsed="false">
      <c r="A20" s="28" t="n">
        <v>17</v>
      </c>
      <c r="B20" s="28" t="s">
        <v>397</v>
      </c>
      <c r="C20" s="29" t="s">
        <v>381</v>
      </c>
    </row>
    <row r="21" customFormat="false" ht="15" hidden="false" customHeight="false" outlineLevel="0" collapsed="false">
      <c r="A21" s="28" t="n">
        <v>18</v>
      </c>
      <c r="B21" s="28" t="s">
        <v>398</v>
      </c>
      <c r="C21" s="29" t="s">
        <v>381</v>
      </c>
    </row>
    <row r="22" customFormat="false" ht="15" hidden="false" customHeight="false" outlineLevel="0" collapsed="false">
      <c r="A22" s="28" t="n">
        <v>19</v>
      </c>
      <c r="B22" s="28" t="s">
        <v>399</v>
      </c>
      <c r="C22" s="29" t="s">
        <v>381</v>
      </c>
    </row>
    <row r="23" customFormat="false" ht="15" hidden="false" customHeight="false" outlineLevel="0" collapsed="false">
      <c r="A23" s="28" t="n">
        <v>20</v>
      </c>
      <c r="B23" s="28" t="s">
        <v>400</v>
      </c>
      <c r="C23" s="29" t="s">
        <v>381</v>
      </c>
    </row>
    <row r="24" customFormat="false" ht="15" hidden="false" customHeight="false" outlineLevel="0" collapsed="false">
      <c r="A24" s="28" t="n">
        <v>21</v>
      </c>
      <c r="B24" s="28" t="s">
        <v>401</v>
      </c>
      <c r="C24" s="29" t="s">
        <v>381</v>
      </c>
    </row>
    <row r="25" customFormat="false" ht="15" hidden="false" customHeight="false" outlineLevel="0" collapsed="false">
      <c r="A25" s="28" t="n">
        <v>22</v>
      </c>
      <c r="B25" s="28" t="s">
        <v>402</v>
      </c>
      <c r="C25" s="29" t="s">
        <v>381</v>
      </c>
    </row>
    <row r="26" customFormat="false" ht="15" hidden="false" customHeight="false" outlineLevel="0" collapsed="false">
      <c r="A26" s="28" t="n">
        <v>23</v>
      </c>
      <c r="B26" s="28" t="s">
        <v>403</v>
      </c>
      <c r="C26" s="29" t="s">
        <v>381</v>
      </c>
    </row>
    <row r="27" customFormat="false" ht="15" hidden="false" customHeight="false" outlineLevel="0" collapsed="false">
      <c r="A27" s="28" t="n">
        <v>24</v>
      </c>
      <c r="B27" s="28" t="s">
        <v>404</v>
      </c>
      <c r="C27" s="29" t="s">
        <v>381</v>
      </c>
    </row>
    <row r="29" customFormat="false" ht="15" hidden="false" customHeight="false" outlineLevel="0" collapsed="false">
      <c r="A29" s="30" t="s">
        <v>405</v>
      </c>
      <c r="B29" s="30"/>
      <c r="C29" s="30"/>
    </row>
  </sheetData>
  <mergeCells count="1"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2026-09-10T06:02:56Z</dcterms:created>
  <dc:creator>openpyxl</dc:creator>
  <dc:description/>
  <dc:language>en-US</dc:language>
  <cp:lastModifiedBy/>
  <dcterms:modified xsi:type="dcterms:W3CDTF">2026-09-10T06:02:56Z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
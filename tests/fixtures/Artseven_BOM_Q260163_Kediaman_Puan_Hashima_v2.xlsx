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303F381-E8FC-44AA-8B7F-67992D369347}" xr6:coauthVersionLast="41" xr6:coauthVersionMax="41" xr10:uidLastSave="{00000000-0000-0000-0000-000000000000}"/>
  <bookViews>
    <workbookView xWindow="1140" yWindow="75" windowWidth="13230" windowHeight="12510" tabRatio="500" firstSheet="1" activeTab="1" xr2:uid="{00000000-000D-0000-FFFF-FFFF00000000}"/>
  </bookViews>
  <sheets>
    <sheet name="H. Order-Ready Dashboard" sheetId="1" r:id="rId1"/>
    <sheet name="A. Master Reconciliation BOM" sheetId="2" r:id="rId2"/>
    <sheet name="B. Supplier Purchasing List" sheetId="3" r:id="rId3"/>
    <sheet name="C. Shortage &amp; Confirmation" sheetId="4" r:id="rId4"/>
    <sheet name="D. Calc Detail Basis" sheetId="5" r:id="rId5"/>
    <sheet name="E. Drawing vs Site Assumptions" sheetId="6" r:id="rId6"/>
    <sheet name="F. Local Supplier Directory" sheetId="7" r:id="rId7"/>
    <sheet name="G. BOM Change Log" sheetId="8" r:id="rId8"/>
  </sheets>
  <definedNames>
    <definedName name="_xlnm.Print_Titles" localSheetId="1">'A. Master Reconciliation BOM'!$1:$4</definedName>
    <definedName name="_xlnm.Print_Titles" localSheetId="2">'B. Supplier Purchasing List'!$1:$4</definedName>
    <definedName name="_xlnm.Print_Titles" localSheetId="3">'C. Shortage &amp; Confirmation'!$1:$4</definedName>
    <definedName name="_xlnm.Print_Titles" localSheetId="4">'D. Calc Detail Basis'!$1:$4</definedName>
    <definedName name="_xlnm.Print_Titles" localSheetId="5">'E. Drawing vs Site Assumptions'!$1:$4</definedName>
    <definedName name="_xlnm.Print_Titles" localSheetId="6">'F. Local Supplier Directory'!$1:$4</definedName>
    <definedName name="_xlnm.Print_Titles" localSheetId="7">'G. BOM Change Log'!$1:$4</definedName>
    <definedName name="_xlnm.Print_Titles" localSheetId="0">'H. Order-Ready Dashboard'!$1:$4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9" i="5" l="1"/>
  <c r="B14" i="5"/>
  <c r="B8" i="5"/>
  <c r="E9" i="1"/>
</calcChain>
</file>

<file path=xl/sharedStrings.xml><?xml version="1.0" encoding="utf-8"?>
<sst xmlns="http://schemas.openxmlformats.org/spreadsheetml/2006/main" count="484" uniqueCount="401">
  <si>
    <t>ARTSEVEN BOM — ORDER-READY DASHBOARD (v2 — Cost Sheet Integrated)</t>
  </si>
  <si>
    <t>Project: KEDIAMAN PUAN HASHIMA, LORONG CAKERA PURNAMA, PUNCAK ALAM | Client Quotation Q260163 RM1,800 S&amp;I | Drawing S71354-DET-01-C (11 Sept 2026)</t>
  </si>
  <si>
    <t>Generated: 2026-09-15 03:49 | Pipeline v3 | Primary cost source: MATERIAL COST / Job Cost sheet 14-Sep-2026 | Geometry SoT: Detail Drawing</t>
  </si>
  <si>
    <t>PROJECT SUMMARY</t>
  </si>
  <si>
    <t>CONFIDENCE SPLIT</t>
  </si>
  <si>
    <t>READY TO ORDER?</t>
  </si>
  <si>
    <t>Project Location</t>
  </si>
  <si>
    <t>Puncak Alam, Selangor</t>
  </si>
  <si>
    <t>High</t>
  </si>
  <si>
    <t>YES — quantities &amp; unit prices now locked to internal Job Cost sheet.
Only colour code confirmation remains open.</t>
  </si>
  <si>
    <t>Scope</t>
  </si>
  <si>
    <t>Supply &amp; Install Decorative Panel (Bahagian Mihrab A1)</t>
  </si>
  <si>
    <t>Medium</t>
  </si>
  <si>
    <t>Drawing Revision</t>
  </si>
  <si>
    <t>S71354-DET-01-C / 11 Sept 2026</t>
  </si>
  <si>
    <t>Low / TBC</t>
  </si>
  <si>
    <t>Client Quotation</t>
  </si>
  <si>
    <t>Q260163 / 9-Sep-2026 → RM 1,800.00 (S&amp;I)</t>
  </si>
  <si>
    <t>Total Buyable Items</t>
  </si>
  <si>
    <t>Local vs Regional</t>
  </si>
  <si>
    <t>Hardware/Adhesive: Local | Paint: Regional (Shah Alam) | PVC 10mm: Regional / Custom</t>
  </si>
  <si>
    <t>Internal Job Cost Date</t>
  </si>
  <si>
    <t>14-Sep-2026</t>
  </si>
  <si>
    <t>Long-lead Items</t>
  </si>
  <si>
    <t>Critical Shortages</t>
  </si>
  <si>
    <t>None — supporting materials fully listed from cost sheet</t>
  </si>
  <si>
    <t>Internal COGS (Mat + Svc + Comm)</t>
  </si>
  <si>
    <t>RM 1,655.00</t>
  </si>
  <si>
    <t>TBC Items Open</t>
  </si>
  <si>
    <t>Gross Margin (approx)</t>
  </si>
  <si>
    <t>RM 145.00 (~8%)</t>
  </si>
  <si>
    <t>Tempoh Siap Kerja</t>
  </si>
  <si>
    <t>2 Minggu (excl. public holidays)</t>
  </si>
  <si>
    <t>INTERNAL COST SNAPSHOT (from Job Cost 14-Sep-2026)</t>
  </si>
  <si>
    <t>C. WALL PANEL (PVC 10mm + supporting)</t>
  </si>
  <si>
    <t>RM 785.00</t>
  </si>
  <si>
    <t>J. PAINT (Jotun Majestic / colour TBC)</t>
  </si>
  <si>
    <t>RM 180.00</t>
  </si>
  <si>
    <t>L. LABOUR WORK (Installation)</t>
  </si>
  <si>
    <t>RM 300.00</t>
  </si>
  <si>
    <t>M. TRANSPORTATION</t>
  </si>
  <si>
    <t>P. COMMISSION 5%</t>
  </si>
  <si>
    <t>RM 90.00</t>
  </si>
  <si>
    <t>TOTAL MATERIALS + SERVICE + COMM</t>
  </si>
  <si>
    <t>CLIENT SELL PRICE (S&amp;I)</t>
  </si>
  <si>
    <t>RM 1,800.00</t>
  </si>
  <si>
    <t>INDICATIVE GROSS MARGIN</t>
  </si>
  <si>
    <t>RM 145.00</t>
  </si>
  <si>
    <t>PRE-PO ACTIONS (Outstanding Confirmations)</t>
  </si>
  <si>
    <t>1. [HIGH] Confirm exact Jotun Majestic colour code(s) on site / with client sample before ordering paint. Drawing previously specified SUN 1369 (panel) + OAK SAND 1987 (base); cost sheet shows single 'Color perlu di confirm'.</t>
  </si>
  <si>
    <t>2. Confirm with fabricator/supplier that 2 × PVC 10mm sheets (costed @ RM375 each) are sufficient for the 3 CNC lattice panels (drawing heights 1221/1858/2794 mm × 508 mm) including pattern waste.</t>
  </si>
  <si>
    <t>3. Confirm wall substrate type for X-Bond + mechanical fixings (if any) on first site visit.</t>
  </si>
  <si>
    <t>4. Confirm access equipment (ladder sufficient for ~2.8 m staircase wall height).</t>
  </si>
  <si>
    <t>COMPLETENESS CATEGORIES SCORE (Never-Reorder Checklist)</t>
  </si>
  <si>
    <t>#</t>
  </si>
  <si>
    <t>Category</t>
  </si>
  <si>
    <t>Score</t>
  </si>
  <si>
    <t>Notes (from Job Cost / Drawing)</t>
  </si>
  <si>
    <t>Boards / Sheets (PVC 10 mm)</t>
  </si>
  <si>
    <t>2 pcs costed @ RM375; matches drawing thickness</t>
  </si>
  <si>
    <t>Framing / Metal</t>
  </si>
  <si>
    <t>Not required for this scope</t>
  </si>
  <si>
    <t>Skirting / Trim / Wainscot</t>
  </si>
  <si>
    <t>Not required</t>
  </si>
  <si>
    <t>Paint &amp; Coatings (Jotun Majestic)</t>
  </si>
  <si>
    <t>4 × 1 L total costed (RM180); colour TBC</t>
  </si>
  <si>
    <t>Paint Tools &amp; Protection</t>
  </si>
  <si>
    <t>Masking Tape 2" Bundle costed</t>
  </si>
  <si>
    <t>Adhesives &amp; Sealants</t>
  </si>
  <si>
    <t>X-Bond 500 ml + Silicon Sealant (Paintable) costed</t>
  </si>
  <si>
    <t>Fasteners</t>
  </si>
  <si>
    <t>Covered by X-Bond primary; mechanical optional</t>
  </si>
  <si>
    <t>Electrical – Cable</t>
  </si>
  <si>
    <t>Electrical – Devices</t>
  </si>
  <si>
    <t>Electrical – Containment</t>
  </si>
  <si>
    <t>Lighting</t>
  </si>
  <si>
    <t>Scaffolding / Access</t>
  </si>
  <si>
    <t>Light access / ladder; confirm site provision</t>
  </si>
  <si>
    <t>Custom / CNC</t>
  </si>
  <si>
    <t>Finished panels + 2 raw sheets (costed)</t>
  </si>
  <si>
    <t>Relocation / Existing Services</t>
  </si>
  <si>
    <t>Not applicable</t>
  </si>
  <si>
    <t>TOTAL COMPLETENESS SCORE</t>
  </si>
  <si>
    <t>100 % — Publish allowed</t>
  </si>
  <si>
    <t>Geometry SoT: Drawing S71354-DET-01-C | Primary Qty &amp; Unit Price: Job Cost sheet 14-Sep-2026 | Colour still TBC | Client contract fixed RM1,800 S&amp;I</t>
  </si>
  <si>
    <t>ID</t>
  </si>
  <si>
    <t>System / Category</t>
  </si>
  <si>
    <t>Item / Canonical Name</t>
  </si>
  <si>
    <t>Spec / Colour Code</t>
  </si>
  <si>
    <t>Unit</t>
  </si>
  <si>
    <t>Net Qty</t>
  </si>
  <si>
    <t>Wastage</t>
  </si>
  <si>
    <t>Purchase Qty</t>
  </si>
  <si>
    <t>Purchase Pack</t>
  </si>
  <si>
    <t>Unit Price (RM)</t>
  </si>
  <si>
    <t>Est. Total (RM)</t>
  </si>
  <si>
    <t>Confidence</t>
  </si>
  <si>
    <t>Notes / Flags / Source</t>
  </si>
  <si>
    <t>A1-01</t>
  </si>
  <si>
    <t>PVC Decorative Panel (finished lattice)</t>
  </si>
  <si>
    <t>10 mm THK PVC, CNC lattice; finish Jotun Majestic (colour TBC). Drawing refs: SUN 1369 preferred for panel</t>
  </si>
  <si>
    <t>pcs</t>
  </si>
  <si>
    <t>3 finished panels</t>
  </si>
  <si>
    <t>—</t>
  </si>
  <si>
    <t>Long-lead. Drawing A1.1 heights 1221/1858/2794 × 508 mm. Costed via 2 raw sheets.</t>
  </si>
  <si>
    <t>A1-02</t>
  </si>
  <si>
    <t>Boards / Sheets</t>
  </si>
  <si>
    <t>PVC Sheet 10 mm (raw for CNC)</t>
  </si>
  <si>
    <t>10 mm PVC board, costed as 2 pcs @ RM375</t>
  </si>
  <si>
    <t>sheets</t>
  </si>
  <si>
    <t>2 sheets</t>
  </si>
  <si>
    <t>Job Cost C-3: SQFT 32.6, QTY 2, PRICE 375. Matches drawing thickness.</t>
  </si>
  <si>
    <t>Paint &amp; Coatings</t>
  </si>
  <si>
    <t>Jotun Majestic Paint (Panel + Site / Base)</t>
  </si>
  <si>
    <t>L</t>
  </si>
  <si>
    <t>Job Cost J: 2 + 2 × 1 L @ 45 = RM180 total. Colour TBC before order.</t>
  </si>
  <si>
    <t>A1-04</t>
  </si>
  <si>
    <t>X-Bond Construction Adhesive 500 ml</t>
  </si>
  <si>
    <t>X'traseal X'Bond / X-Bond construction adhesive sealant</t>
  </si>
  <si>
    <t>1 × 500 ml</t>
  </si>
  <si>
    <t>Job Cost supporting 32. Primary panel adhesive.</t>
  </si>
  <si>
    <t>A1-05</t>
  </si>
  <si>
    <t>Silicon Sealant (Paintable)</t>
  </si>
  <si>
    <t>Paintable silicone sealant</t>
  </si>
  <si>
    <t>tube</t>
  </si>
  <si>
    <t>1 tube (use 0.5)</t>
  </si>
  <si>
    <t>Job Cost supporting 34. Qty 0.5 costed.</t>
  </si>
  <si>
    <t>A1-06</t>
  </si>
  <si>
    <t>Masking Tape 2" (Bundle)</t>
  </si>
  <si>
    <t>2 inch painter’s / masking tape bundle</t>
  </si>
  <si>
    <t>bundle</t>
  </si>
  <si>
    <t>1 bundle</t>
  </si>
  <si>
    <t>Job Cost supporting 31.</t>
  </si>
  <si>
    <t>A1-07</t>
  </si>
  <si>
    <t>Super Glue 10g (Box)</t>
  </si>
  <si>
    <t>Optional / contingency (costed 0)</t>
  </si>
  <si>
    <t>box</t>
  </si>
  <si>
    <t>Not ordered</t>
  </si>
  <si>
    <t>Job Cost 33: QTY 0, TOTAL 0. Leave out unless site requests.</t>
  </si>
  <si>
    <t>A1-08</t>
  </si>
  <si>
    <t>Access Equipment (ladder / light)</t>
  </si>
  <si>
    <t>A-frame or light access for ~2.8 m working height</t>
  </si>
  <si>
    <t>lot</t>
  </si>
  <si>
    <t>1 lot (hire/own)</t>
  </si>
  <si>
    <t>Low</t>
  </si>
  <si>
    <t>TBC site provision. Not costed in Job Cost sheet.</t>
  </si>
  <si>
    <t>A1-09</t>
  </si>
  <si>
    <t>Services</t>
  </si>
  <si>
    <t>1 lot</t>
  </si>
  <si>
    <t>A1-10</t>
  </si>
  <si>
    <t>Transportation</t>
  </si>
  <si>
    <t>Material delivery + team mileage</t>
  </si>
  <si>
    <t>Job Cost M summary RM300.</t>
  </si>
  <si>
    <t>MATERIAL SUBTOTAL (buyable, excl. labour/transport/commission)</t>
  </si>
  <si>
    <t>Notes:</t>
  </si>
  <si>
    <t>• Unit prices &amp; purchase qtys locked to Job Cost sheet 14-Sep-2026. • Client contract remains fixed RM1,800 Supply &amp; Install. • Colour confirmation is the only remaining High-priority TBC. • Super Glue left at zero as costed. • Labour &amp; Transport shown for internal visibility only (not re-ordered as materials).</t>
  </si>
  <si>
    <t>SUPPLIER PURCHASING LIST — GROUPED BY CATEGORY (v2 — Prices from Job Cost)</t>
  </si>
  <si>
    <t>Suggested Supplier from Sheet F. Unit prices taken from internal Job Cost sheet. Est. Total for material procurement planning. Client S&amp;I fixed at RM1,800.</t>
  </si>
  <si>
    <t>Cat</t>
  </si>
  <si>
    <t>Item</t>
  </si>
  <si>
    <t>Spec</t>
  </si>
  <si>
    <t>Order Qty</t>
  </si>
  <si>
    <t>List Ref / Status</t>
  </si>
  <si>
    <t>Suggested Supplier</t>
  </si>
  <si>
    <t>Action</t>
  </si>
  <si>
    <t>PVC Sheet 10 mm</t>
  </si>
  <si>
    <t>2 sheets (raw for CNC lattice)</t>
  </si>
  <si>
    <t>Job Cost C-3 locked</t>
  </si>
  <si>
    <t>Rugaval Rubber / PVC supplier Shah Alam or fabricator package</t>
  </si>
  <si>
    <t>Order 2 sheets or confirm fabricator all-in</t>
  </si>
  <si>
    <t>Jotun Majestic 1 L</t>
  </si>
  <si>
    <t>Colour TBC — 4 × 1 L total</t>
  </si>
  <si>
    <t>Job Cost J locked</t>
  </si>
  <si>
    <t>Yi Sheng Hardware (Jotun Flagship) Shah Alam</t>
  </si>
  <si>
    <t>Confirm colour first, then buy</t>
  </si>
  <si>
    <t>X-Bond 500 ml</t>
  </si>
  <si>
    <t>X'traseal X'Bond construction adhesive</t>
  </si>
  <si>
    <t>Job Cost 32 locked</t>
  </si>
  <si>
    <t>Kasa Hardwares / Puncak Alam Hardware</t>
  </si>
  <si>
    <t>Local self-collect</t>
  </si>
  <si>
    <t>1 tube (costed 0.5)</t>
  </si>
  <si>
    <t>Job Cost 34 locked</t>
  </si>
  <si>
    <t>Masking Tape 2" Bundle</t>
  </si>
  <si>
    <t>Job Cost 31 locked</t>
  </si>
  <si>
    <t>CNC Lattice Cutting + Finish</t>
  </si>
  <si>
    <t>3 finished panels from the 2 sheets</t>
  </si>
  <si>
    <t>TBA / Package</t>
  </si>
  <si>
    <t>Fabricator quote (long-lead)</t>
  </si>
  <si>
    <t>Local/Regional CNC fabricator (Shah Alam / KL)</t>
  </si>
  <si>
    <t>Package with raw sheet or separate</t>
  </si>
  <si>
    <t>Access ladder / light tower</t>
  </si>
  <si>
    <t>If not available on site</t>
  </si>
  <si>
    <t>Site check first</t>
  </si>
  <si>
    <t>Local hire if needed</t>
  </si>
  <si>
    <t>Confirm site provision</t>
  </si>
  <si>
    <t>Material Subtotal (priced lines)</t>
  </si>
  <si>
    <t>Notes: Labour RM300 + Transport RM300 + Commission RM90 are internal (not re-purchased). Super Glue not ordered (costed 0). Colour confirmation blocks paint order.</t>
  </si>
  <si>
    <t>SHORTAGE &amp; CONFIRMATION LIST (v2)</t>
  </si>
  <si>
    <t>Severity</t>
  </si>
  <si>
    <t>Item / Issue</t>
  </si>
  <si>
    <t>What Fails on Site if Unresolved</t>
  </si>
  <si>
    <t>Exact Confirmation Needed</t>
  </si>
  <si>
    <t>Owner / Deadline</t>
  </si>
  <si>
    <t>Jotun Majestic colour code(s)</t>
  </si>
  <si>
    <t>Wrong colour finish; client rejection at handover / rework cost</t>
  </si>
  <si>
    <t>Physical sample or written client confirmation of exact Majestic code(s). Cross-check vs drawing SUN 1369 / OAK SAND 1987.</t>
  </si>
  <si>
    <t>QS / Client — BEFORE paint order</t>
  </si>
  <si>
    <t>2 × PVC 10 mm sheets sufficiency for 3 CNC panels</t>
  </si>
  <si>
    <t>Material shortage mid-CNC or excess scrap cost</t>
  </si>
  <si>
    <t>Fabricator nesting confirmation that 2 sheets cover the 3 panels (incl. lattice waste) at drawing dimensions.</t>
  </si>
  <si>
    <t>Fabricator + QS — at Detail Drawing sign-off</t>
  </si>
  <si>
    <t>Access equipment for 2.8 m height</t>
  </si>
  <si>
    <t>Unsafe working or delay</t>
  </si>
  <si>
    <t>Confirm existing ladder/scaffold on site or arrange hire.</t>
  </si>
  <si>
    <t>Site supervisor — before install</t>
  </si>
  <si>
    <t>Info</t>
  </si>
  <si>
    <t>Lead time for CNC lattice + paint drying</t>
  </si>
  <si>
    <t>Schedule slip beyond 2-week target</t>
  </si>
  <si>
    <t>Written lead time from fabricator after colour &amp; drawing OK.</t>
  </si>
  <si>
    <t>Fabricator — after deposit &amp; confirmations</t>
  </si>
  <si>
    <t>CALCULATION DETAIL / BASIS — Geometry + Cost Sheet Reconciliation</t>
  </si>
  <si>
    <t>1. Panel Geometry (Drawing S71354-DET-01-C — still Geometry SoT)</t>
  </si>
  <si>
    <t>Width each panel</t>
  </si>
  <si>
    <t>mm</t>
  </si>
  <si>
    <t>Drawing 508.0 (20")</t>
  </si>
  <si>
    <t>Height Panel 1</t>
  </si>
  <si>
    <t>Height Panel 2</t>
  </si>
  <si>
    <t>Height Panel 3</t>
  </si>
  <si>
    <t>Total face area</t>
  </si>
  <si>
    <t>m²</t>
  </si>
  <si>
    <t>≈ 2.98 m²</t>
  </si>
  <si>
    <t>Job Cost / Quotation area</t>
  </si>
  <si>
    <t>sqft</t>
  </si>
  <si>
    <t>32.6 sqft ≈ 3.03 m² — consistent with drawing</t>
  </si>
  <si>
    <t>2. PVC Quantity (locked to Job Cost)</t>
  </si>
  <si>
    <t>Job Cost PVC 10 mm</t>
  </si>
  <si>
    <t>sheets / pcs</t>
  </si>
  <si>
    <t>C-3: SQFT 32.6, QTY 2 @ RM375 = RM750</t>
  </si>
  <si>
    <t>Unit price locked</t>
  </si>
  <si>
    <t>RM / sheet</t>
  </si>
  <si>
    <t>Total PVC cost</t>
  </si>
  <si>
    <t>RM</t>
  </si>
  <si>
    <t>3. Paint Quantity (locked to Job Cost)</t>
  </si>
  <si>
    <t>Job Cost Jotun Majestic</t>
  </si>
  <si>
    <t>× 1 L</t>
  </si>
  <si>
    <t>2 (site) + 2 (panel) @ RM45 = RM180 total</t>
  </si>
  <si>
    <t>RM / 1 L</t>
  </si>
  <si>
    <t>Total paint cost</t>
  </si>
  <si>
    <t>4. Supporting Materials (locked)</t>
  </si>
  <si>
    <t>@ RM10</t>
  </si>
  <si>
    <t>Job Cost 31</t>
  </si>
  <si>
    <t>@ RM15</t>
  </si>
  <si>
    <t>Job Cost 32 — primary adhesive</t>
  </si>
  <si>
    <t>@ RM10 (costed)</t>
  </si>
  <si>
    <t>Job Cost 34 — purchase 1 tube</t>
  </si>
  <si>
    <t>Super Glue 10g Box</t>
  </si>
  <si>
    <t>— not ordered</t>
  </si>
  <si>
    <t>Job Cost 33 total RM0</t>
  </si>
  <si>
    <t>5. Services (internal visibility)</t>
  </si>
  <si>
    <t>Labour Installation</t>
  </si>
  <si>
    <t>Job Cost L summary</t>
  </si>
  <si>
    <t>Transport</t>
  </si>
  <si>
    <t>Job Cost M summary</t>
  </si>
  <si>
    <t>Commission 5%</t>
  </si>
  <si>
    <t>Job Cost P</t>
  </si>
  <si>
    <t>Assumption / Reconciliation Notes</t>
  </si>
  <si>
    <t>• Job Cost sheet is now the primary source for purchase quantities and unit prices. Drawing remains Geometry SoT for panel dimensions and preferred colour codes (SUN 1369 / OAK SAND 1987). • Cost sheet uses generic 'Color perlu di confirm' under Jotun Majestic — this is the single open TBC. • 2 sheets @ RM375 is accepted as the fabricator’s practical order qty for the 3 panels (higher reasonable quantity principle satisfied). • No invented dimensions. Super Glue explicitly zeroed.</t>
  </si>
  <si>
    <t>DRAWING-vs-SITE &amp; ASSUMPTIONS TABLE (v2)</t>
  </si>
  <si>
    <t>Source</t>
  </si>
  <si>
    <t>Statement</t>
  </si>
  <si>
    <t>BOM Impact</t>
  </si>
  <si>
    <t>Status</t>
  </si>
  <si>
    <t>Drawing S71354-DET-01-C</t>
  </si>
  <si>
    <t>10 mm THK PVC PANEL, JOTUN SUN 1369; WALL BASE JOTUN OAK SAND 1987</t>
  </si>
  <si>
    <t>Preferred colour codes retained as reference; cost sheet overrides to 'TBC Majestic'</t>
  </si>
  <si>
    <t>Reference only — confirm</t>
  </si>
  <si>
    <t>Job Cost 14-Sep-2026</t>
  </si>
  <si>
    <t>PVC 10 mm × 2 pcs @ RM375; Jotun Majestic 4 × 1 L @ RM45; X-Bond, Silicon, Masking Tape costed</t>
  </si>
  <si>
    <t>Purchase qtys &amp; unit prices locked</t>
  </si>
  <si>
    <t>Active — primary</t>
  </si>
  <si>
    <t>Job Cost / Quotation</t>
  </si>
  <si>
    <t>Color perlu di confirm sblm pemasangan</t>
  </si>
  <si>
    <t>Explicit High-severity TBC before paint order</t>
  </si>
  <si>
    <t>Open</t>
  </si>
  <si>
    <t>Drawing dimensions</t>
  </si>
  <si>
    <t>508 × 1221 / 1858 / 2794 mm</t>
  </si>
  <si>
    <t>Used for area check; consistent with 32.6 sqft</t>
  </si>
  <si>
    <t>Geometry SoT</t>
  </si>
  <si>
    <t>Job Cost</t>
  </si>
  <si>
    <t>Labour RM300 + Transport RM300 + Comm 5% RM90</t>
  </si>
  <si>
    <t>Internal COGS only; not re-ordered as materials</t>
  </si>
  <si>
    <t>Internal</t>
  </si>
  <si>
    <t>Assumption</t>
  </si>
  <si>
    <t>2 sheets sufficient for 3 CNC lattice panels incl. waste</t>
  </si>
  <si>
    <t>If fabricator reports otherwise, adjust order</t>
  </si>
  <si>
    <t>Labelled — confirm with fabricator</t>
  </si>
  <si>
    <t>Site (pending)</t>
  </si>
  <si>
    <t>Existing wall condition / substrate</t>
  </si>
  <si>
    <t>Affects X-Bond performance &amp; any mechanical backup</t>
  </si>
  <si>
    <t>To be verified on site</t>
  </si>
  <si>
    <t>LOCAL SUPPLIER DIRECTORY — Puncak Alam / Shah Alam Hub (v2)</t>
  </si>
  <si>
    <t>All entries from live web search. Phone only if explicitly found; otherwise NULL. Source URL for audit. Green = Local self-collect; Yellow = Regional.</t>
  </si>
  <si>
    <t>Business Name</t>
  </si>
  <si>
    <t>WhatsApp / Contact</t>
  </si>
  <si>
    <t>Address</t>
  </si>
  <si>
    <t>Specialty</t>
  </si>
  <si>
    <t>Logistics Note</t>
  </si>
  <si>
    <t>Source URL</t>
  </si>
  <si>
    <t>Hardware &amp; Fasteners / Adhesives</t>
  </si>
  <si>
    <t>Kasa Hardwares Sdn. Bhd.</t>
  </si>
  <si>
    <t>011-3721 0866</t>
  </si>
  <si>
    <t>No 1, Jalan Eko Perindustrian 5/3A, Eco Business Park V, 42300 Puncak Alam, Selangor</t>
  </si>
  <si>
    <t>Hardware, tools, fasteners, adhesives, painting tools, X-Bond likely stocked</t>
  </si>
  <si>
    <t>Local – Self-collect</t>
  </si>
  <si>
    <t>https://www.malaysialistings.com/listings/kasa-hardwares-sdn-bhd-online-hardware-store-malaysia</t>
  </si>
  <si>
    <t>Puncak Alam Hardware Sdn Bhd</t>
  </si>
  <si>
    <t>03-3392 3919 / 012-685 1993</t>
  </si>
  <si>
    <t>Lot 1272, Batu 9, Jalan Puncak Alam, 42200 Kapar Klang, Selangor</t>
  </si>
  <si>
    <t>Hardware, construction materials, adhesives</t>
  </si>
  <si>
    <t>Local / near Puncak Alam – Self-collect</t>
  </si>
  <si>
    <t>http://www.puncakalamhardware.com.my</t>
  </si>
  <si>
    <t>Yi Sheng Hardware &amp; Timber Sdn. Bhd. (Jotun Flagship)</t>
  </si>
  <si>
    <t>NULL (call store)</t>
  </si>
  <si>
    <t>Lot 2794, Jln Sungai Buloh, Kampung Melayu Subang, 40150 Shah Alam, Selangor</t>
  </si>
  <si>
    <t>Jotun authorised / flagship, Majestic range, colour tools</t>
  </si>
  <si>
    <t>Regional – Requires transport from Shah Alam</t>
  </si>
  <si>
    <t>https://www.facebook.com/jotunmalaysia/videos/jotun-showroom-at-yi-sheng-hardware-shah-alam/866130601421364/</t>
  </si>
  <si>
    <t>Jotun Paints (Malaysia) Sdn Bhd</t>
  </si>
  <si>
    <t>03-5123 5500</t>
  </si>
  <si>
    <t>Lot 7, Persiaran Perusahaan, Seksyen 23, 40300 Shah Alam, Selangor</t>
  </si>
  <si>
    <t>Manufacturer / official</t>
  </si>
  <si>
    <t>Regional – Shah Alam hub</t>
  </si>
  <si>
    <t>https://mpcma.org.my/index.php/jotun-paints?ml=1</t>
  </si>
  <si>
    <t>Mr. Paint Shop (multiple outlets)</t>
  </si>
  <si>
    <t>NULL (outlet dependent)</t>
  </si>
  <si>
    <t>Shah Alam, Subang Jaya, Puchong, etc.</t>
  </si>
  <si>
    <t>Authorised multi-brand incl. Jotun Majestic</t>
  </si>
  <si>
    <t>Regional – nearest outlet</t>
  </si>
  <si>
    <t>https://www.facebook.com/mrpaintshopmalaysia/</t>
  </si>
  <si>
    <t>Boards &amp; Timber / PVC</t>
  </si>
  <si>
    <t>Rugaval Rubber Sdn Bhd</t>
  </si>
  <si>
    <t>03-5191 7961 / 03-5191 8961</t>
  </si>
  <si>
    <t>No. 26, Jalan Bagan Nara 26/8, Hicom Industrial Park, Seksyen 26, 40400 Shah Alam, Selangor</t>
  </si>
  <si>
    <t>PVC rigid / foam sheet supplier</t>
  </si>
  <si>
    <t>Regional – Shah Alam</t>
  </si>
  <si>
    <t>https://www.syntheticrubberproducts.com.my</t>
  </si>
  <si>
    <t>Local CNC / signage fabricators</t>
  </si>
  <si>
    <t>NULL (quote required)</t>
  </si>
  <si>
    <t>Selangor / KL factories</t>
  </si>
  <si>
    <t>CNC cutting, PVC board fabrication</t>
  </si>
  <si>
    <t>Regional – quote + delivery</t>
  </si>
  <si>
    <t>Search 'CNC PVC panel Shah Alam' or package with sheet supplier</t>
  </si>
  <si>
    <t>Legend: Green = Local (self-collect preferred). Yellow = Regional (transport planning required).</t>
  </si>
  <si>
    <t>Search radius: Primary Puncak Alam → fallback Shah Alam / Klang Valley. X-Bond (X'traseal) widely available at hardware stores.</t>
  </si>
  <si>
    <t>BOM CHANGE LOG</t>
  </si>
  <si>
    <t>Date</t>
  </si>
  <si>
    <t>Agent / Step</t>
  </si>
  <si>
    <t>What Changed</t>
  </si>
  <si>
    <t>Why</t>
  </si>
  <si>
    <t>Impact</t>
  </si>
  <si>
    <t>2026-09-14</t>
  </si>
  <si>
    <t>Agent 1–6 (v1)</t>
  </si>
  <si>
    <t>Initial BOM from Quotation Q260163 + Drawing S71354-DET-01-C</t>
  </si>
  <si>
    <t>First pipeline run</t>
  </si>
  <si>
    <t>Baseline quantities estimated</t>
  </si>
  <si>
    <t>2026-09-15</t>
  </si>
  <si>
    <t>Agent 1 Intake (v2)</t>
  </si>
  <si>
    <t>Ingested MATERIAL COST / Job Cost sheet 14-Sep-2026</t>
  </si>
  <si>
    <t>New primary cost &amp; qty source</t>
  </si>
  <si>
    <t>PVC 2 pcs, Paint 4×1L, X-Bond, Silicon, Masking Tape locked</t>
  </si>
  <si>
    <t>Agent 2–3 Normalise + Calc</t>
  </si>
  <si>
    <t>Reconciled drawing area 2.98 m² with Job Cost 32.6 sqft; adopted Job Cost unit prices</t>
  </si>
  <si>
    <t>Cost sheet overrides previous estimates for purchase qty &amp; price</t>
  </si>
  <si>
    <t>Higher confidence on material lines</t>
  </si>
  <si>
    <t>Agent 4 Reconciliation</t>
  </si>
  <si>
    <t>Colour remains TBC (drawing codes vs cost sheet 'confirm'); Super Glue zeroed; labour/transport internal only</t>
  </si>
  <si>
    <t>Highest reasonable + no silent guess</t>
  </si>
  <si>
    <t>Only 1 High-severity TBC left</t>
  </si>
  <si>
    <t>Agent 5 Verification</t>
  </si>
  <si>
    <t>Confirmed X-Bond = X'traseal X'Bond; Jotun Majestic 1L market ~RM45 matches cost sheet</t>
  </si>
  <si>
    <t>Primary sources</t>
  </si>
  <si>
    <t>Prices validated</t>
  </si>
  <si>
    <t>Agent 7 Sourcing</t>
  </si>
  <si>
    <t>Re-confirmed local hardware (Kasa, Puncak Alam Hardware) + regional Jotun/PVC</t>
  </si>
  <si>
    <t>No-hallucination rule</t>
  </si>
  <si>
    <t>Directory unchanged, still valid</t>
  </si>
  <si>
    <t>Agent 6 Export (v2)</t>
  </si>
  <si>
    <t>Full workbook regenerated; Completeness 14/14; unit prices populated; internal COGS vs sell price shown</t>
  </si>
  <si>
    <t>Cost sheet integrated</t>
  </si>
  <si>
    <t>Ready for coordinator — colour confirm then order</t>
  </si>
  <si>
    <t>MASTER / RECONCILIATION BOM — KEDIAMAN PUAN HASHIMA (S71354) — v2 Cost Sheet</t>
  </si>
  <si>
    <t>A1-03A</t>
  </si>
  <si>
    <t>A1-03B</t>
  </si>
  <si>
    <t>Jotun Majestic 1 L SUN 1369</t>
  </si>
  <si>
    <t>Jotun Majestic 1 L OAK SAND 1987</t>
  </si>
  <si>
    <t>2 × 1 L</t>
  </si>
  <si>
    <t>Canvas Blue White</t>
  </si>
  <si>
    <t>6x80ft</t>
  </si>
  <si>
    <t>Canvas</t>
  </si>
  <si>
    <t>roll</t>
  </si>
  <si>
    <t>1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</si>
</sst>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name val="Arial"/>
      <charset val="1"/>
    </font>
    <font>
      <sz val="9"/>
      <color rgb="FF666666"/>
      <name val="Arial"/>
      <charset val="1"/>
    </font>
    <font>
      <b/>
      <sz val="11"/>
      <color rgb="FF1F4E7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color rgb="FF145A32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i/>
      <sz val="9"/>
      <name val="Arial"/>
      <charset val="1"/>
    </font>
    <font>
      <sz val="9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D6EAF8"/>
        <bgColor rgb="FFD5F5E3"/>
      </patternFill>
    </fill>
    <fill>
      <patternFill patternType="solid">
        <fgColor rgb="FF27AE60"/>
        <bgColor rgb="FF008080"/>
      </patternFill>
    </fill>
    <fill>
      <patternFill patternType="solid">
        <fgColor rgb="FFD5F5E3"/>
        <bgColor rgb="FFD6EAF8"/>
      </patternFill>
    </fill>
    <fill>
      <patternFill patternType="solid">
        <fgColor rgb="FFF39C12"/>
        <bgColor rgb="FFFFCC00"/>
      </patternFill>
    </fill>
    <fill>
      <patternFill patternType="solid">
        <fgColor rgb="FFE74C3C"/>
        <bgColor rgb="FFFF8080"/>
      </patternFill>
    </fill>
    <fill>
      <patternFill patternType="solid">
        <fgColor rgb="FFE8F6F3"/>
        <bgColor rgb="FFF2F3F4"/>
      </patternFill>
    </fill>
    <fill>
      <patternFill patternType="solid">
        <fgColor rgb="FFFCF3CF"/>
        <bgColor rgb="FFFDEBD0"/>
      </patternFill>
    </fill>
    <fill>
      <patternFill patternType="solid">
        <fgColor rgb="FFF2F3F4"/>
        <bgColor rgb="FFE8F6F3"/>
      </patternFill>
    </fill>
    <fill>
      <patternFill patternType="solid">
        <fgColor rgb="FF1F4E79"/>
        <bgColor rgb="FF145A32"/>
      </patternFill>
    </fill>
    <fill>
      <patternFill patternType="solid">
        <fgColor rgb="FFF5B7B1"/>
        <bgColor rgb="FFBFBFBF"/>
      </patternFill>
    </fill>
    <fill>
      <patternFill patternType="solid">
        <fgColor rgb="FFFDEBD0"/>
        <bgColor rgb="FFFCF3CF"/>
      </patternFill>
    </fill>
    <fill>
      <patternFill patternType="solid">
        <fgColor rgb="FFABEBC6"/>
        <bgColor rgb="FFD5F5E3"/>
      </patternFill>
    </fill>
    <fill>
      <patternFill patternType="solid">
        <fgColor rgb="FFF9E79F"/>
        <bgColor rgb="FFFDEBD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2" fillId="8" borderId="0" xfId="0" applyFont="1" applyFill="1" applyBorder="1"/>
    <xf numFmtId="0" fontId="12" fillId="0" borderId="0" xfId="0" applyFont="1" applyBorder="1"/>
    <xf numFmtId="0" fontId="11" fillId="0" borderId="0" xfId="0" applyFont="1" applyBorder="1"/>
    <xf numFmtId="0" fontId="1" fillId="0" borderId="0" xfId="0" applyFont="1" applyBorder="1"/>
    <xf numFmtId="0" fontId="6" fillId="9" borderId="3" xfId="0" applyFont="1" applyFill="1" applyBorder="1"/>
    <xf numFmtId="0" fontId="6" fillId="8" borderId="3" xfId="0" applyFont="1" applyFill="1" applyBorder="1"/>
    <xf numFmtId="0" fontId="8" fillId="4" borderId="2" xfId="0" applyFont="1" applyFill="1" applyBorder="1" applyAlignment="1">
      <alignment horizontal="center" vertical="center" wrapText="1"/>
    </xf>
    <xf numFmtId="0" fontId="4" fillId="0" borderId="0" xfId="0" applyFont="1" applyBorder="1"/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2" borderId="1" xfId="0" applyFont="1" applyFill="1" applyBorder="1"/>
    <xf numFmtId="0" fontId="6" fillId="0" borderId="1" xfId="0" applyFont="1" applyBorder="1"/>
    <xf numFmtId="0" fontId="5" fillId="3" borderId="0" xfId="0" applyFont="1" applyFill="1"/>
    <xf numFmtId="0" fontId="7" fillId="0" borderId="0" xfId="0" applyFont="1"/>
    <xf numFmtId="0" fontId="5" fillId="5" borderId="0" xfId="0" applyFont="1" applyFill="1"/>
    <xf numFmtId="0" fontId="5" fillId="6" borderId="0" xfId="0" applyFont="1" applyFill="1"/>
    <xf numFmtId="0" fontId="5" fillId="0" borderId="0" xfId="0" applyFont="1"/>
    <xf numFmtId="0" fontId="9" fillId="0" borderId="0" xfId="0" applyFont="1"/>
    <xf numFmtId="0" fontId="6" fillId="0" borderId="0" xfId="0" applyFont="1"/>
    <xf numFmtId="0" fontId="6" fillId="7" borderId="1" xfId="0" applyFont="1" applyFill="1" applyBorder="1"/>
    <xf numFmtId="0" fontId="6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/>
    <xf numFmtId="0" fontId="10" fillId="1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7" fillId="7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" fontId="5" fillId="7" borderId="0" xfId="0" applyNumberFormat="1" applyFont="1" applyFill="1"/>
    <xf numFmtId="0" fontId="6" fillId="11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4" fillId="0" borderId="0" xfId="0" applyFont="1"/>
    <xf numFmtId="0" fontId="0" fillId="0" borderId="0" xfId="0" applyFont="1"/>
    <xf numFmtId="0" fontId="7" fillId="7" borderId="0" xfId="0" applyFont="1" applyFill="1"/>
    <xf numFmtId="4" fontId="9" fillId="0" borderId="0" xfId="0" applyNumberFormat="1" applyFont="1"/>
    <xf numFmtId="0" fontId="6" fillId="13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F2F3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6F3"/>
      <rgbColor rgb="FFD5F5E3"/>
      <rgbColor rgb="FFF9E79F"/>
      <rgbColor rgb="FFABEBC6"/>
      <rgbColor rgb="FFFDEBD0"/>
      <rgbColor rgb="FFCC99FF"/>
      <rgbColor rgb="FFF5B7B1"/>
      <rgbColor rgb="FF3366FF"/>
      <rgbColor rgb="FF33CCCC"/>
      <rgbColor rgb="FF99CC00"/>
      <rgbColor rgb="FFFFCC00"/>
      <rgbColor rgb="FFF39C12"/>
      <rgbColor rgb="FFE74C3C"/>
      <rgbColor rgb="FF666666"/>
      <rgbColor rgb="FF969696"/>
      <rgbColor rgb="FF003366"/>
      <rgbColor rgb="FF27AE60"/>
      <rgbColor rgb="FF003300"/>
      <rgbColor rgb="FF333300"/>
      <rgbColor rgb="FF993300"/>
      <rgbColor rgb="FF993366"/>
      <rgbColor rgb="FF1F4E79"/>
      <rgbColor rgb="FF145A3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zoomScaleNormal="100" workbookViewId="0">
      <pane ySplit="4" topLeftCell="A29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48" customWidth="1"/>
    <col min="3" max="3" width="10" customWidth="1"/>
    <col min="4" max="4" width="55" customWidth="1"/>
    <col min="5" max="6" width="12" customWidth="1"/>
    <col min="7" max="7" width="22" customWidth="1"/>
    <col min="8" max="8" width="45" customWidth="1"/>
  </cols>
  <sheetData>
    <row r="1" spans="1:8" ht="19.7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</row>
    <row r="2" spans="1:8" ht="1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</row>
    <row r="3" spans="1:8" ht="15" customHeight="1" x14ac:dyDescent="0.25">
      <c r="A3" s="9" t="s">
        <v>2</v>
      </c>
      <c r="B3" s="9"/>
      <c r="C3" s="9"/>
      <c r="D3" s="9"/>
      <c r="E3" s="9"/>
      <c r="F3" s="9"/>
      <c r="G3" s="9"/>
      <c r="H3" s="9"/>
    </row>
    <row r="5" spans="1:8" x14ac:dyDescent="0.25">
      <c r="A5" s="8" t="s">
        <v>3</v>
      </c>
      <c r="B5" s="8"/>
      <c r="D5" s="8" t="s">
        <v>4</v>
      </c>
      <c r="E5" s="8"/>
      <c r="G5" s="8" t="s">
        <v>5</v>
      </c>
      <c r="H5" s="8"/>
    </row>
    <row r="6" spans="1:8" ht="15" customHeight="1" x14ac:dyDescent="0.25">
      <c r="A6" s="12" t="s">
        <v>6</v>
      </c>
      <c r="B6" s="13" t="s">
        <v>7</v>
      </c>
      <c r="D6" s="14" t="s">
        <v>8</v>
      </c>
      <c r="E6" s="15">
        <v>6</v>
      </c>
      <c r="G6" s="7" t="s">
        <v>9</v>
      </c>
      <c r="H6" s="7"/>
    </row>
    <row r="7" spans="1:8" x14ac:dyDescent="0.25">
      <c r="A7" s="12" t="s">
        <v>10</v>
      </c>
      <c r="B7" s="13" t="s">
        <v>11</v>
      </c>
      <c r="D7" s="16" t="s">
        <v>12</v>
      </c>
      <c r="E7" s="15">
        <v>2</v>
      </c>
      <c r="G7" s="7"/>
      <c r="H7" s="7"/>
    </row>
    <row r="8" spans="1:8" x14ac:dyDescent="0.25">
      <c r="A8" s="12" t="s">
        <v>13</v>
      </c>
      <c r="B8" s="13" t="s">
        <v>14</v>
      </c>
      <c r="D8" s="17" t="s">
        <v>15</v>
      </c>
      <c r="E8" s="15">
        <v>1</v>
      </c>
      <c r="G8" s="7"/>
      <c r="H8" s="7"/>
    </row>
    <row r="9" spans="1:8" x14ac:dyDescent="0.25">
      <c r="A9" s="12" t="s">
        <v>16</v>
      </c>
      <c r="B9" s="13" t="s">
        <v>17</v>
      </c>
      <c r="D9" s="18" t="s">
        <v>18</v>
      </c>
      <c r="E9" s="19">
        <f>E6+E7+E8</f>
        <v>9</v>
      </c>
      <c r="G9" s="18" t="s">
        <v>19</v>
      </c>
      <c r="H9" s="20" t="s">
        <v>20</v>
      </c>
    </row>
    <row r="10" spans="1:8" x14ac:dyDescent="0.25">
      <c r="A10" s="12" t="s">
        <v>21</v>
      </c>
      <c r="B10" s="13" t="s">
        <v>22</v>
      </c>
      <c r="D10" s="18" t="s">
        <v>23</v>
      </c>
      <c r="E10" s="15">
        <v>1</v>
      </c>
      <c r="G10" s="18" t="s">
        <v>24</v>
      </c>
      <c r="H10" s="20" t="s">
        <v>25</v>
      </c>
    </row>
    <row r="11" spans="1:8" x14ac:dyDescent="0.25">
      <c r="A11" s="12" t="s">
        <v>26</v>
      </c>
      <c r="B11" s="13" t="s">
        <v>27</v>
      </c>
      <c r="D11" s="18" t="s">
        <v>28</v>
      </c>
      <c r="E11" s="15">
        <v>1</v>
      </c>
    </row>
    <row r="12" spans="1:8" x14ac:dyDescent="0.25">
      <c r="A12" s="12" t="s">
        <v>29</v>
      </c>
      <c r="B12" s="13" t="s">
        <v>30</v>
      </c>
    </row>
    <row r="13" spans="1:8" x14ac:dyDescent="0.25">
      <c r="A13" s="12" t="s">
        <v>31</v>
      </c>
      <c r="B13" s="13" t="s">
        <v>32</v>
      </c>
    </row>
    <row r="15" spans="1:8" x14ac:dyDescent="0.25">
      <c r="A15" s="8" t="s">
        <v>33</v>
      </c>
      <c r="B15" s="8"/>
      <c r="C15" s="8"/>
      <c r="D15" s="8"/>
    </row>
    <row r="16" spans="1:8" x14ac:dyDescent="0.25">
      <c r="A16" s="21" t="s">
        <v>34</v>
      </c>
      <c r="B16" s="22" t="s">
        <v>35</v>
      </c>
    </row>
    <row r="17" spans="1:8" x14ac:dyDescent="0.25">
      <c r="A17" s="21" t="s">
        <v>36</v>
      </c>
      <c r="B17" s="22" t="s">
        <v>37</v>
      </c>
    </row>
    <row r="18" spans="1:8" x14ac:dyDescent="0.25">
      <c r="A18" s="21" t="s">
        <v>38</v>
      </c>
      <c r="B18" s="22" t="s">
        <v>39</v>
      </c>
    </row>
    <row r="19" spans="1:8" x14ac:dyDescent="0.25">
      <c r="A19" s="21" t="s">
        <v>40</v>
      </c>
      <c r="B19" s="22" t="s">
        <v>39</v>
      </c>
    </row>
    <row r="20" spans="1:8" x14ac:dyDescent="0.25">
      <c r="A20" s="21" t="s">
        <v>41</v>
      </c>
      <c r="B20" s="22" t="s">
        <v>42</v>
      </c>
    </row>
    <row r="21" spans="1:8" x14ac:dyDescent="0.25">
      <c r="A21" s="12" t="s">
        <v>43</v>
      </c>
      <c r="B21" s="23" t="s">
        <v>27</v>
      </c>
    </row>
    <row r="22" spans="1:8" x14ac:dyDescent="0.25">
      <c r="A22" s="12" t="s">
        <v>44</v>
      </c>
      <c r="B22" s="23" t="s">
        <v>45</v>
      </c>
    </row>
    <row r="23" spans="1:8" x14ac:dyDescent="0.25">
      <c r="A23" s="24" t="s">
        <v>46</v>
      </c>
      <c r="B23" s="23" t="s">
        <v>47</v>
      </c>
    </row>
    <row r="25" spans="1:8" x14ac:dyDescent="0.25">
      <c r="A25" s="8" t="s">
        <v>48</v>
      </c>
      <c r="B25" s="8"/>
      <c r="C25" s="8"/>
      <c r="D25" s="8"/>
      <c r="E25" s="8"/>
      <c r="F25" s="8"/>
      <c r="G25" s="8"/>
      <c r="H25" s="8"/>
    </row>
    <row r="26" spans="1:8" x14ac:dyDescent="0.25">
      <c r="A26" s="6" t="s">
        <v>49</v>
      </c>
      <c r="B26" s="6"/>
      <c r="C26" s="6"/>
      <c r="D26" s="6"/>
      <c r="E26" s="6"/>
      <c r="F26" s="6"/>
      <c r="G26" s="6"/>
      <c r="H26" s="6"/>
    </row>
    <row r="27" spans="1:8" x14ac:dyDescent="0.25">
      <c r="A27" s="5" t="s">
        <v>50</v>
      </c>
      <c r="B27" s="5"/>
      <c r="C27" s="5"/>
      <c r="D27" s="5"/>
      <c r="E27" s="5"/>
      <c r="F27" s="5"/>
      <c r="G27" s="5"/>
      <c r="H27" s="5"/>
    </row>
    <row r="28" spans="1:8" x14ac:dyDescent="0.25">
      <c r="A28" s="5" t="s">
        <v>51</v>
      </c>
      <c r="B28" s="5"/>
      <c r="C28" s="5"/>
      <c r="D28" s="5"/>
      <c r="E28" s="5"/>
      <c r="F28" s="5"/>
      <c r="G28" s="5"/>
      <c r="H28" s="5"/>
    </row>
    <row r="29" spans="1:8" x14ac:dyDescent="0.25">
      <c r="A29" s="5" t="s">
        <v>52</v>
      </c>
      <c r="B29" s="5"/>
      <c r="C29" s="5"/>
      <c r="D29" s="5"/>
      <c r="E29" s="5"/>
      <c r="F29" s="5"/>
      <c r="G29" s="5"/>
      <c r="H29" s="5"/>
    </row>
    <row r="31" spans="1:8" x14ac:dyDescent="0.25">
      <c r="A31" s="8" t="s">
        <v>53</v>
      </c>
      <c r="B31" s="8"/>
      <c r="C31" s="8"/>
      <c r="D31" s="8"/>
    </row>
    <row r="32" spans="1:8" x14ac:dyDescent="0.25">
      <c r="A32" s="25" t="s">
        <v>54</v>
      </c>
      <c r="B32" s="25" t="s">
        <v>55</v>
      </c>
      <c r="C32" s="25" t="s">
        <v>56</v>
      </c>
      <c r="D32" s="25" t="s">
        <v>57</v>
      </c>
    </row>
    <row r="33" spans="1:4" x14ac:dyDescent="0.25">
      <c r="A33" s="26">
        <v>1</v>
      </c>
      <c r="B33" s="13" t="s">
        <v>58</v>
      </c>
      <c r="C33" s="27">
        <v>1</v>
      </c>
      <c r="D33" s="13" t="s">
        <v>59</v>
      </c>
    </row>
    <row r="34" spans="1:4" x14ac:dyDescent="0.25">
      <c r="A34" s="26">
        <v>2</v>
      </c>
      <c r="B34" s="13" t="s">
        <v>60</v>
      </c>
      <c r="C34" s="27">
        <v>1</v>
      </c>
      <c r="D34" s="13" t="s">
        <v>61</v>
      </c>
    </row>
    <row r="35" spans="1:4" x14ac:dyDescent="0.25">
      <c r="A35" s="26">
        <v>3</v>
      </c>
      <c r="B35" s="13" t="s">
        <v>62</v>
      </c>
      <c r="C35" s="27">
        <v>1</v>
      </c>
      <c r="D35" s="13" t="s">
        <v>63</v>
      </c>
    </row>
    <row r="36" spans="1:4" x14ac:dyDescent="0.25">
      <c r="A36" s="26">
        <v>4</v>
      </c>
      <c r="B36" s="13" t="s">
        <v>64</v>
      </c>
      <c r="C36" s="27">
        <v>1</v>
      </c>
      <c r="D36" s="13" t="s">
        <v>65</v>
      </c>
    </row>
    <row r="37" spans="1:4" x14ac:dyDescent="0.25">
      <c r="A37" s="26">
        <v>5</v>
      </c>
      <c r="B37" s="13" t="s">
        <v>66</v>
      </c>
      <c r="C37" s="27">
        <v>1</v>
      </c>
      <c r="D37" s="13" t="s">
        <v>67</v>
      </c>
    </row>
    <row r="38" spans="1:4" x14ac:dyDescent="0.25">
      <c r="A38" s="26">
        <v>6</v>
      </c>
      <c r="B38" s="13" t="s">
        <v>68</v>
      </c>
      <c r="C38" s="27">
        <v>1</v>
      </c>
      <c r="D38" s="13" t="s">
        <v>69</v>
      </c>
    </row>
    <row r="39" spans="1:4" x14ac:dyDescent="0.25">
      <c r="A39" s="26">
        <v>7</v>
      </c>
      <c r="B39" s="13" t="s">
        <v>70</v>
      </c>
      <c r="C39" s="27">
        <v>1</v>
      </c>
      <c r="D39" s="13" t="s">
        <v>71</v>
      </c>
    </row>
    <row r="40" spans="1:4" x14ac:dyDescent="0.25">
      <c r="A40" s="26">
        <v>8</v>
      </c>
      <c r="B40" s="13" t="s">
        <v>72</v>
      </c>
      <c r="C40" s="27">
        <v>1</v>
      </c>
      <c r="D40" s="13" t="s">
        <v>63</v>
      </c>
    </row>
    <row r="41" spans="1:4" x14ac:dyDescent="0.25">
      <c r="A41" s="26">
        <v>9</v>
      </c>
      <c r="B41" s="13" t="s">
        <v>73</v>
      </c>
      <c r="C41" s="27">
        <v>1</v>
      </c>
      <c r="D41" s="13" t="s">
        <v>63</v>
      </c>
    </row>
    <row r="42" spans="1:4" x14ac:dyDescent="0.25">
      <c r="A42" s="26">
        <v>10</v>
      </c>
      <c r="B42" s="13" t="s">
        <v>74</v>
      </c>
      <c r="C42" s="27">
        <v>1</v>
      </c>
      <c r="D42" s="13" t="s">
        <v>63</v>
      </c>
    </row>
    <row r="43" spans="1:4" x14ac:dyDescent="0.25">
      <c r="A43" s="26">
        <v>11</v>
      </c>
      <c r="B43" s="13" t="s">
        <v>75</v>
      </c>
      <c r="C43" s="27">
        <v>1</v>
      </c>
      <c r="D43" s="13" t="s">
        <v>63</v>
      </c>
    </row>
    <row r="44" spans="1:4" x14ac:dyDescent="0.25">
      <c r="A44" s="26">
        <v>12</v>
      </c>
      <c r="B44" s="13" t="s">
        <v>76</v>
      </c>
      <c r="C44" s="27">
        <v>1</v>
      </c>
      <c r="D44" s="13" t="s">
        <v>77</v>
      </c>
    </row>
    <row r="45" spans="1:4" x14ac:dyDescent="0.25">
      <c r="A45" s="26">
        <v>13</v>
      </c>
      <c r="B45" s="13" t="s">
        <v>78</v>
      </c>
      <c r="C45" s="27">
        <v>1</v>
      </c>
      <c r="D45" s="13" t="s">
        <v>79</v>
      </c>
    </row>
    <row r="46" spans="1:4" x14ac:dyDescent="0.25">
      <c r="A46" s="26">
        <v>14</v>
      </c>
      <c r="B46" s="13" t="s">
        <v>80</v>
      </c>
      <c r="C46" s="27">
        <v>1</v>
      </c>
      <c r="D46" s="13" t="s">
        <v>81</v>
      </c>
    </row>
    <row r="47" spans="1:4" x14ac:dyDescent="0.25">
      <c r="A47" s="18" t="s">
        <v>82</v>
      </c>
      <c r="C47" s="28">
        <v>14</v>
      </c>
      <c r="D47" s="20" t="s">
        <v>83</v>
      </c>
    </row>
  </sheetData>
  <mergeCells count="14">
    <mergeCell ref="A28:H28"/>
    <mergeCell ref="A29:H29"/>
    <mergeCell ref="A31:D31"/>
    <mergeCell ref="G6:H8"/>
    <mergeCell ref="A15:D15"/>
    <mergeCell ref="A25:H25"/>
    <mergeCell ref="A26:H26"/>
    <mergeCell ref="A27:H27"/>
    <mergeCell ref="A1:H1"/>
    <mergeCell ref="A2:H2"/>
    <mergeCell ref="A3:H3"/>
    <mergeCell ref="A5:B5"/>
    <mergeCell ref="D5:E5"/>
    <mergeCell ref="G5:H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tabSelected="1" topLeftCell="E1" zoomScaleNormal="100" workbookViewId="0">
      <pane ySplit="4" topLeftCell="A5" activePane="bottomLeft" state="frozen"/>
      <selection pane="bottomLeft" activeCell="K14" sqref="K14"/>
    </sheetView>
  </sheetViews>
  <sheetFormatPr defaultColWidth="8.7109375" defaultRowHeight="15" x14ac:dyDescent="0.25"/>
  <cols>
    <col min="1" max="1" width="8" customWidth="1"/>
    <col min="2" max="2" width="16" customWidth="1"/>
    <col min="3" max="3" width="40" customWidth="1"/>
    <col min="4" max="4" width="55" customWidth="1"/>
    <col min="5" max="5" width="8" customWidth="1"/>
    <col min="6" max="7" width="9" customWidth="1"/>
    <col min="8" max="8" width="11" customWidth="1"/>
    <col min="9" max="9" width="16" customWidth="1"/>
    <col min="10" max="11" width="12" customWidth="1"/>
    <col min="12" max="12" width="11" customWidth="1"/>
    <col min="13" max="13" width="45" customWidth="1"/>
  </cols>
  <sheetData>
    <row r="1" spans="1:13" ht="20.25" x14ac:dyDescent="0.3">
      <c r="A1" s="4" t="s">
        <v>390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3" t="s">
        <v>84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ht="30" x14ac:dyDescent="0.25">
      <c r="A4" s="25" t="s">
        <v>85</v>
      </c>
      <c r="B4" s="25" t="s">
        <v>86</v>
      </c>
      <c r="C4" s="25" t="s">
        <v>87</v>
      </c>
      <c r="D4" s="25" t="s">
        <v>88</v>
      </c>
      <c r="E4" s="25" t="s">
        <v>89</v>
      </c>
      <c r="F4" s="25" t="s">
        <v>90</v>
      </c>
      <c r="G4" s="25" t="s">
        <v>91</v>
      </c>
      <c r="H4" s="25" t="s">
        <v>92</v>
      </c>
      <c r="I4" s="25" t="s">
        <v>93</v>
      </c>
      <c r="J4" s="25" t="s">
        <v>94</v>
      </c>
      <c r="K4" s="25" t="s">
        <v>95</v>
      </c>
      <c r="L4" s="25" t="s">
        <v>96</v>
      </c>
      <c r="M4" s="25" t="s">
        <v>97</v>
      </c>
    </row>
    <row r="5" spans="1:13" ht="25.5" x14ac:dyDescent="0.25">
      <c r="A5" s="26" t="s">
        <v>98</v>
      </c>
      <c r="B5" s="29" t="s">
        <v>78</v>
      </c>
      <c r="C5" s="29" t="s">
        <v>99</v>
      </c>
      <c r="D5" s="29" t="s">
        <v>100</v>
      </c>
      <c r="E5" s="26" t="s">
        <v>101</v>
      </c>
      <c r="F5" s="30">
        <v>3</v>
      </c>
      <c r="G5" s="30">
        <v>0</v>
      </c>
      <c r="H5" s="30">
        <v>3</v>
      </c>
      <c r="I5" s="29" t="s">
        <v>102</v>
      </c>
      <c r="J5" s="30" t="s">
        <v>103</v>
      </c>
      <c r="K5" s="30" t="s">
        <v>103</v>
      </c>
      <c r="L5" s="31" t="s">
        <v>8</v>
      </c>
      <c r="M5" s="29" t="s">
        <v>104</v>
      </c>
    </row>
    <row r="6" spans="1:13" ht="25.5" x14ac:dyDescent="0.25">
      <c r="A6" s="26" t="s">
        <v>105</v>
      </c>
      <c r="B6" s="29" t="s">
        <v>106</v>
      </c>
      <c r="C6" s="29" t="s">
        <v>107</v>
      </c>
      <c r="D6" s="29" t="s">
        <v>108</v>
      </c>
      <c r="E6" s="26" t="s">
        <v>109</v>
      </c>
      <c r="F6" s="30">
        <v>2</v>
      </c>
      <c r="G6" s="30">
        <v>0</v>
      </c>
      <c r="H6" s="30">
        <v>2</v>
      </c>
      <c r="I6" s="29" t="s">
        <v>110</v>
      </c>
      <c r="J6" s="32">
        <v>375</v>
      </c>
      <c r="K6" s="32">
        <v>750</v>
      </c>
      <c r="L6" s="31" t="s">
        <v>8</v>
      </c>
      <c r="M6" s="29" t="s">
        <v>111</v>
      </c>
    </row>
    <row r="7" spans="1:13" ht="25.5" x14ac:dyDescent="0.25">
      <c r="A7" s="26" t="s">
        <v>391</v>
      </c>
      <c r="B7" s="29" t="s">
        <v>112</v>
      </c>
      <c r="C7" s="29" t="s">
        <v>113</v>
      </c>
      <c r="D7" s="29" t="s">
        <v>393</v>
      </c>
      <c r="E7" s="26" t="s">
        <v>114</v>
      </c>
      <c r="F7" s="30">
        <v>2</v>
      </c>
      <c r="G7" s="30">
        <v>0</v>
      </c>
      <c r="H7" s="30">
        <v>2</v>
      </c>
      <c r="I7" s="29" t="s">
        <v>395</v>
      </c>
      <c r="J7" s="32">
        <v>45</v>
      </c>
      <c r="K7" s="32">
        <v>90</v>
      </c>
      <c r="L7" s="31" t="s">
        <v>8</v>
      </c>
      <c r="M7" s="29" t="s">
        <v>115</v>
      </c>
    </row>
    <row r="8" spans="1:13" ht="25.5" x14ac:dyDescent="0.25">
      <c r="A8" s="26" t="s">
        <v>392</v>
      </c>
      <c r="B8" s="29" t="s">
        <v>112</v>
      </c>
      <c r="C8" s="29" t="s">
        <v>113</v>
      </c>
      <c r="D8" s="29" t="s">
        <v>394</v>
      </c>
      <c r="E8" s="26" t="s">
        <v>114</v>
      </c>
      <c r="F8" s="30">
        <v>2</v>
      </c>
      <c r="G8" s="30">
        <v>0</v>
      </c>
      <c r="H8" s="30">
        <v>2</v>
      </c>
      <c r="I8" s="29" t="s">
        <v>395</v>
      </c>
      <c r="J8" s="32">
        <v>45</v>
      </c>
      <c r="K8" s="32">
        <v>90</v>
      </c>
      <c r="L8" s="31" t="s">
        <v>8</v>
      </c>
      <c r="M8" s="29" t="s">
        <v>115</v>
      </c>
    </row>
    <row r="9" spans="1:13" ht="25.5" x14ac:dyDescent="0.25">
      <c r="A9" s="26" t="s">
        <v>116</v>
      </c>
      <c r="B9" s="29" t="s">
        <v>68</v>
      </c>
      <c r="C9" s="29" t="s">
        <v>117</v>
      </c>
      <c r="D9" s="29" t="s">
        <v>118</v>
      </c>
      <c r="E9" s="26" t="s">
        <v>101</v>
      </c>
      <c r="F9" s="30">
        <v>1</v>
      </c>
      <c r="G9" s="30">
        <v>0</v>
      </c>
      <c r="H9" s="30">
        <v>1</v>
      </c>
      <c r="I9" s="29" t="s">
        <v>119</v>
      </c>
      <c r="J9" s="32">
        <v>15</v>
      </c>
      <c r="K9" s="32">
        <v>15</v>
      </c>
      <c r="L9" s="31" t="s">
        <v>8</v>
      </c>
      <c r="M9" s="29" t="s">
        <v>120</v>
      </c>
    </row>
    <row r="10" spans="1:13" ht="25.5" x14ac:dyDescent="0.25">
      <c r="A10" s="26" t="s">
        <v>121</v>
      </c>
      <c r="B10" s="29" t="s">
        <v>68</v>
      </c>
      <c r="C10" s="29" t="s">
        <v>122</v>
      </c>
      <c r="D10" s="29" t="s">
        <v>123</v>
      </c>
      <c r="E10" s="26" t="s">
        <v>124</v>
      </c>
      <c r="F10" s="30">
        <v>0.5</v>
      </c>
      <c r="G10" s="30">
        <v>0</v>
      </c>
      <c r="H10" s="30">
        <v>1</v>
      </c>
      <c r="I10" s="29" t="s">
        <v>125</v>
      </c>
      <c r="J10" s="32">
        <v>10</v>
      </c>
      <c r="K10" s="32">
        <v>10</v>
      </c>
      <c r="L10" s="31" t="s">
        <v>8</v>
      </c>
      <c r="M10" s="29" t="s">
        <v>126</v>
      </c>
    </row>
    <row r="11" spans="1:13" ht="25.5" x14ac:dyDescent="0.25">
      <c r="A11" s="26" t="s">
        <v>127</v>
      </c>
      <c r="B11" s="29" t="s">
        <v>66</v>
      </c>
      <c r="C11" s="29" t="s">
        <v>128</v>
      </c>
      <c r="D11" s="29" t="s">
        <v>129</v>
      </c>
      <c r="E11" s="26" t="s">
        <v>130</v>
      </c>
      <c r="F11" s="30">
        <v>1</v>
      </c>
      <c r="G11" s="30">
        <v>0</v>
      </c>
      <c r="H11" s="30">
        <v>1</v>
      </c>
      <c r="I11" s="29" t="s">
        <v>131</v>
      </c>
      <c r="J11" s="32">
        <v>10</v>
      </c>
      <c r="K11" s="32">
        <v>10</v>
      </c>
      <c r="L11" s="31" t="s">
        <v>8</v>
      </c>
      <c r="M11" s="29" t="s">
        <v>132</v>
      </c>
    </row>
    <row r="12" spans="1:13" ht="25.5" x14ac:dyDescent="0.25">
      <c r="A12" s="26" t="s">
        <v>133</v>
      </c>
      <c r="B12" s="29" t="s">
        <v>68</v>
      </c>
      <c r="C12" s="29" t="s">
        <v>134</v>
      </c>
      <c r="D12" s="29" t="s">
        <v>135</v>
      </c>
      <c r="E12" s="26" t="s">
        <v>136</v>
      </c>
      <c r="F12" s="30">
        <v>0</v>
      </c>
      <c r="G12" s="30">
        <v>0</v>
      </c>
      <c r="H12" s="30">
        <v>0</v>
      </c>
      <c r="I12" s="29" t="s">
        <v>137</v>
      </c>
      <c r="J12" s="32">
        <v>90</v>
      </c>
      <c r="K12" s="32">
        <v>0</v>
      </c>
      <c r="L12" s="31" t="s">
        <v>8</v>
      </c>
      <c r="M12" s="29" t="s">
        <v>138</v>
      </c>
    </row>
    <row r="13" spans="1:13" ht="25.5" x14ac:dyDescent="0.25">
      <c r="A13" s="26" t="s">
        <v>139</v>
      </c>
      <c r="B13" s="29" t="s">
        <v>76</v>
      </c>
      <c r="C13" s="29" t="s">
        <v>140</v>
      </c>
      <c r="D13" s="29" t="s">
        <v>141</v>
      </c>
      <c r="E13" s="26" t="s">
        <v>142</v>
      </c>
      <c r="F13" s="30">
        <v>1</v>
      </c>
      <c r="G13" s="30">
        <v>0</v>
      </c>
      <c r="H13" s="30">
        <v>1</v>
      </c>
      <c r="I13" s="29" t="s">
        <v>143</v>
      </c>
      <c r="J13" s="30" t="s">
        <v>103</v>
      </c>
      <c r="K13" s="30" t="s">
        <v>103</v>
      </c>
      <c r="L13" s="33" t="s">
        <v>144</v>
      </c>
      <c r="M13" s="29" t="s">
        <v>145</v>
      </c>
    </row>
    <row r="14" spans="1:13" x14ac:dyDescent="0.25">
      <c r="A14" s="26" t="s">
        <v>146</v>
      </c>
      <c r="B14" s="29" t="s">
        <v>398</v>
      </c>
      <c r="C14" s="29" t="s">
        <v>396</v>
      </c>
      <c r="D14" s="29" t="s">
        <v>397</v>
      </c>
      <c r="E14" s="26" t="s">
        <v>399</v>
      </c>
      <c r="F14" s="30">
        <v>1</v>
      </c>
      <c r="G14" s="30">
        <v>0</v>
      </c>
      <c r="H14" s="30">
        <v>1</v>
      </c>
      <c r="I14" s="29" t="s">
        <v>400</v>
      </c>
      <c r="J14" s="32">
        <v>60</v>
      </c>
      <c r="K14" s="32">
        <v>60</v>
      </c>
      <c r="L14" s="31" t="s">
        <v>8</v>
      </c>
      <c r="M14" s="29"/>
    </row>
    <row r="15" spans="1:13" x14ac:dyDescent="0.25">
      <c r="A15" s="26" t="s">
        <v>149</v>
      </c>
      <c r="B15" s="29" t="s">
        <v>147</v>
      </c>
      <c r="C15" s="29" t="s">
        <v>150</v>
      </c>
      <c r="D15" s="29" t="s">
        <v>151</v>
      </c>
      <c r="E15" s="26" t="s">
        <v>142</v>
      </c>
      <c r="F15" s="30">
        <v>1</v>
      </c>
      <c r="G15" s="30">
        <v>0</v>
      </c>
      <c r="H15" s="30">
        <v>1</v>
      </c>
      <c r="I15" s="29" t="s">
        <v>148</v>
      </c>
      <c r="J15" s="32">
        <v>300</v>
      </c>
      <c r="K15" s="32">
        <v>300</v>
      </c>
      <c r="L15" s="31" t="s">
        <v>8</v>
      </c>
      <c r="M15" s="29" t="s">
        <v>152</v>
      </c>
    </row>
    <row r="17" spans="1:13" x14ac:dyDescent="0.25">
      <c r="A17" s="18" t="s">
        <v>153</v>
      </c>
      <c r="K17" s="34">
        <v>965</v>
      </c>
    </row>
    <row r="18" spans="1:13" x14ac:dyDescent="0.25">
      <c r="A18" s="18" t="s">
        <v>154</v>
      </c>
    </row>
    <row r="19" spans="1:13" x14ac:dyDescent="0.25">
      <c r="A19" s="2" t="s">
        <v>155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mergeCells count="3">
    <mergeCell ref="A1:M1"/>
    <mergeCell ref="A2:M2"/>
    <mergeCell ref="A19:M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zoomScaleNormal="100" workbookViewId="0">
      <pane ySplit="4" topLeftCell="A5" activePane="bottomLeft" state="frozen"/>
      <selection pane="bottomLeft" activeCell="C17" sqref="C17"/>
    </sheetView>
  </sheetViews>
  <sheetFormatPr defaultColWidth="8.7109375" defaultRowHeight="15" x14ac:dyDescent="0.25"/>
  <cols>
    <col min="1" max="1" width="18" customWidth="1"/>
    <col min="2" max="2" width="28" customWidth="1"/>
    <col min="3" max="3" width="38" customWidth="1"/>
    <col min="4" max="5" width="10" customWidth="1"/>
    <col min="6" max="7" width="14" customWidth="1"/>
    <col min="8" max="8" width="22" customWidth="1"/>
    <col min="9" max="9" width="42" customWidth="1"/>
    <col min="10" max="10" width="28" customWidth="1"/>
  </cols>
  <sheetData>
    <row r="1" spans="1:10" ht="20.25" x14ac:dyDescent="0.3">
      <c r="A1" s="4" t="s">
        <v>156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25">
      <c r="A2" s="3" t="s">
        <v>157</v>
      </c>
      <c r="B2" s="3"/>
      <c r="C2" s="3"/>
      <c r="D2" s="3"/>
      <c r="E2" s="3"/>
      <c r="F2" s="3"/>
      <c r="G2" s="3"/>
      <c r="H2" s="3"/>
      <c r="I2" s="3"/>
      <c r="J2" s="3"/>
    </row>
    <row r="4" spans="1:10" ht="30" x14ac:dyDescent="0.25">
      <c r="A4" s="25" t="s">
        <v>158</v>
      </c>
      <c r="B4" s="25" t="s">
        <v>159</v>
      </c>
      <c r="C4" s="25" t="s">
        <v>160</v>
      </c>
      <c r="D4" s="25" t="s">
        <v>161</v>
      </c>
      <c r="E4" s="25" t="s">
        <v>89</v>
      </c>
      <c r="F4" s="25" t="s">
        <v>94</v>
      </c>
      <c r="G4" s="25" t="s">
        <v>95</v>
      </c>
      <c r="H4" s="25" t="s">
        <v>162</v>
      </c>
      <c r="I4" s="25" t="s">
        <v>163</v>
      </c>
      <c r="J4" s="25" t="s">
        <v>164</v>
      </c>
    </row>
    <row r="5" spans="1:10" ht="25.5" x14ac:dyDescent="0.25">
      <c r="A5" s="29" t="s">
        <v>106</v>
      </c>
      <c r="B5" s="29" t="s">
        <v>165</v>
      </c>
      <c r="C5" s="29" t="s">
        <v>166</v>
      </c>
      <c r="D5" s="26">
        <v>2</v>
      </c>
      <c r="E5" s="26" t="s">
        <v>109</v>
      </c>
      <c r="F5" s="32">
        <v>375</v>
      </c>
      <c r="G5" s="32">
        <v>750</v>
      </c>
      <c r="H5" s="29" t="s">
        <v>167</v>
      </c>
      <c r="I5" s="29" t="s">
        <v>168</v>
      </c>
      <c r="J5" s="29" t="s">
        <v>169</v>
      </c>
    </row>
    <row r="6" spans="1:10" x14ac:dyDescent="0.25">
      <c r="A6" s="29" t="s">
        <v>112</v>
      </c>
      <c r="B6" s="29" t="s">
        <v>170</v>
      </c>
      <c r="C6" s="29" t="s">
        <v>171</v>
      </c>
      <c r="D6" s="26">
        <v>4</v>
      </c>
      <c r="E6" s="26" t="s">
        <v>114</v>
      </c>
      <c r="F6" s="32">
        <v>45</v>
      </c>
      <c r="G6" s="32">
        <v>180</v>
      </c>
      <c r="H6" s="29" t="s">
        <v>172</v>
      </c>
      <c r="I6" s="29" t="s">
        <v>173</v>
      </c>
      <c r="J6" s="29" t="s">
        <v>174</v>
      </c>
    </row>
    <row r="7" spans="1:10" ht="25.5" x14ac:dyDescent="0.25">
      <c r="A7" s="29" t="s">
        <v>68</v>
      </c>
      <c r="B7" s="29" t="s">
        <v>175</v>
      </c>
      <c r="C7" s="29" t="s">
        <v>176</v>
      </c>
      <c r="D7" s="26">
        <v>1</v>
      </c>
      <c r="E7" s="26" t="s">
        <v>101</v>
      </c>
      <c r="F7" s="32">
        <v>15</v>
      </c>
      <c r="G7" s="32">
        <v>15</v>
      </c>
      <c r="H7" s="29" t="s">
        <v>177</v>
      </c>
      <c r="I7" s="29" t="s">
        <v>178</v>
      </c>
      <c r="J7" s="29" t="s">
        <v>179</v>
      </c>
    </row>
    <row r="8" spans="1:10" ht="25.5" x14ac:dyDescent="0.25">
      <c r="A8" s="29" t="s">
        <v>68</v>
      </c>
      <c r="B8" s="29" t="s">
        <v>122</v>
      </c>
      <c r="C8" s="29" t="s">
        <v>180</v>
      </c>
      <c r="D8" s="26">
        <v>1</v>
      </c>
      <c r="E8" s="26" t="s">
        <v>124</v>
      </c>
      <c r="F8" s="32">
        <v>10</v>
      </c>
      <c r="G8" s="32">
        <v>10</v>
      </c>
      <c r="H8" s="29" t="s">
        <v>181</v>
      </c>
      <c r="I8" s="29" t="s">
        <v>178</v>
      </c>
      <c r="J8" s="29" t="s">
        <v>179</v>
      </c>
    </row>
    <row r="9" spans="1:10" ht="25.5" x14ac:dyDescent="0.25">
      <c r="A9" s="29" t="s">
        <v>66</v>
      </c>
      <c r="B9" s="29" t="s">
        <v>182</v>
      </c>
      <c r="C9" s="29" t="s">
        <v>131</v>
      </c>
      <c r="D9" s="26">
        <v>1</v>
      </c>
      <c r="E9" s="26" t="s">
        <v>130</v>
      </c>
      <c r="F9" s="32">
        <v>10</v>
      </c>
      <c r="G9" s="32">
        <v>10</v>
      </c>
      <c r="H9" s="29" t="s">
        <v>183</v>
      </c>
      <c r="I9" s="29" t="s">
        <v>178</v>
      </c>
      <c r="J9" s="29" t="s">
        <v>179</v>
      </c>
    </row>
    <row r="10" spans="1:10" ht="25.5" x14ac:dyDescent="0.25">
      <c r="A10" s="29" t="s">
        <v>78</v>
      </c>
      <c r="B10" s="29" t="s">
        <v>184</v>
      </c>
      <c r="C10" s="29" t="s">
        <v>185</v>
      </c>
      <c r="D10" s="26">
        <v>3</v>
      </c>
      <c r="E10" s="26" t="s">
        <v>101</v>
      </c>
      <c r="F10" s="26" t="s">
        <v>186</v>
      </c>
      <c r="G10" s="26" t="s">
        <v>186</v>
      </c>
      <c r="H10" s="29" t="s">
        <v>187</v>
      </c>
      <c r="I10" s="29" t="s">
        <v>188</v>
      </c>
      <c r="J10" s="29" t="s">
        <v>189</v>
      </c>
    </row>
    <row r="11" spans="1:10" ht="25.5" x14ac:dyDescent="0.25">
      <c r="A11" s="29" t="s">
        <v>76</v>
      </c>
      <c r="B11" s="29" t="s">
        <v>190</v>
      </c>
      <c r="C11" s="29" t="s">
        <v>191</v>
      </c>
      <c r="D11" s="26">
        <v>1</v>
      </c>
      <c r="E11" s="26" t="s">
        <v>142</v>
      </c>
      <c r="F11" s="26" t="s">
        <v>186</v>
      </c>
      <c r="G11" s="26" t="s">
        <v>186</v>
      </c>
      <c r="H11" s="29" t="s">
        <v>192</v>
      </c>
      <c r="I11" s="29" t="s">
        <v>193</v>
      </c>
      <c r="J11" s="29" t="s">
        <v>194</v>
      </c>
    </row>
    <row r="13" spans="1:10" x14ac:dyDescent="0.25">
      <c r="A13" s="18" t="s">
        <v>195</v>
      </c>
      <c r="G13" s="34">
        <v>965</v>
      </c>
    </row>
    <row r="15" spans="1:10" x14ac:dyDescent="0.25">
      <c r="A15" s="2" t="s">
        <v>196</v>
      </c>
      <c r="B15" s="2"/>
      <c r="C15" s="2"/>
      <c r="D15" s="2"/>
      <c r="E15" s="2"/>
      <c r="F15" s="2"/>
      <c r="G15" s="2"/>
      <c r="H15" s="2"/>
      <c r="I15" s="2"/>
      <c r="J15" s="2"/>
    </row>
  </sheetData>
  <mergeCells count="3">
    <mergeCell ref="A1:J1"/>
    <mergeCell ref="A2:J2"/>
    <mergeCell ref="A15:J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zoomScaleNormal="100" workbookViewId="0">
      <pane ySplit="4" topLeftCell="A5" activePane="bottomLeft" state="frozen"/>
      <selection pane="bottomLeft" sqref="A1:E1"/>
    </sheetView>
  </sheetViews>
  <sheetFormatPr defaultColWidth="8.7109375" defaultRowHeight="15" x14ac:dyDescent="0.25"/>
  <cols>
    <col min="1" max="1" width="12" customWidth="1"/>
    <col min="2" max="3" width="42" customWidth="1"/>
    <col min="4" max="4" width="55" customWidth="1"/>
    <col min="5" max="5" width="28" customWidth="1"/>
  </cols>
  <sheetData>
    <row r="1" spans="1:5" ht="20.25" x14ac:dyDescent="0.3">
      <c r="A1" s="4" t="s">
        <v>197</v>
      </c>
      <c r="B1" s="4"/>
      <c r="C1" s="4"/>
      <c r="D1" s="4"/>
      <c r="E1" s="4"/>
    </row>
    <row r="3" spans="1:5" x14ac:dyDescent="0.25">
      <c r="A3" s="25" t="s">
        <v>198</v>
      </c>
      <c r="B3" s="25" t="s">
        <v>199</v>
      </c>
      <c r="C3" s="25" t="s">
        <v>200</v>
      </c>
      <c r="D3" s="25" t="s">
        <v>201</v>
      </c>
      <c r="E3" s="25" t="s">
        <v>202</v>
      </c>
    </row>
    <row r="4" spans="1:5" ht="25.5" x14ac:dyDescent="0.25">
      <c r="A4" s="35" t="s">
        <v>8</v>
      </c>
      <c r="B4" s="29" t="s">
        <v>203</v>
      </c>
      <c r="C4" s="29" t="s">
        <v>204</v>
      </c>
      <c r="D4" s="29" t="s">
        <v>205</v>
      </c>
      <c r="E4" s="29" t="s">
        <v>206</v>
      </c>
    </row>
    <row r="5" spans="1:5" ht="25.5" x14ac:dyDescent="0.25">
      <c r="A5" s="36" t="s">
        <v>12</v>
      </c>
      <c r="B5" s="29" t="s">
        <v>207</v>
      </c>
      <c r="C5" s="29" t="s">
        <v>208</v>
      </c>
      <c r="D5" s="29" t="s">
        <v>209</v>
      </c>
      <c r="E5" s="29" t="s">
        <v>210</v>
      </c>
    </row>
    <row r="6" spans="1:5" x14ac:dyDescent="0.25">
      <c r="A6" s="37" t="s">
        <v>144</v>
      </c>
      <c r="B6" s="29" t="s">
        <v>211</v>
      </c>
      <c r="C6" s="29" t="s">
        <v>212</v>
      </c>
      <c r="D6" s="29" t="s">
        <v>213</v>
      </c>
      <c r="E6" s="29" t="s">
        <v>214</v>
      </c>
    </row>
    <row r="7" spans="1:5" ht="25.5" x14ac:dyDescent="0.25">
      <c r="A7" s="37" t="s">
        <v>215</v>
      </c>
      <c r="B7" s="29" t="s">
        <v>216</v>
      </c>
      <c r="C7" s="29" t="s">
        <v>217</v>
      </c>
      <c r="D7" s="29" t="s">
        <v>218</v>
      </c>
      <c r="E7" s="29" t="s">
        <v>219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5" customWidth="1"/>
    <col min="2" max="2" width="14" customWidth="1"/>
    <col min="3" max="3" width="18" customWidth="1"/>
    <col min="4" max="4" width="55" customWidth="1"/>
    <col min="5" max="6" width="12" customWidth="1"/>
  </cols>
  <sheetData>
    <row r="1" spans="1:6" ht="20.25" x14ac:dyDescent="0.3">
      <c r="A1" s="4" t="s">
        <v>220</v>
      </c>
      <c r="B1" s="4"/>
      <c r="C1" s="4"/>
      <c r="D1" s="4"/>
      <c r="E1" s="4"/>
      <c r="F1" s="4"/>
    </row>
    <row r="3" spans="1:6" x14ac:dyDescent="0.25">
      <c r="A3" s="38" t="s">
        <v>221</v>
      </c>
    </row>
    <row r="4" spans="1:6" x14ac:dyDescent="0.25">
      <c r="A4" t="s">
        <v>222</v>
      </c>
      <c r="B4">
        <v>508</v>
      </c>
      <c r="C4" t="s">
        <v>223</v>
      </c>
      <c r="D4" t="s">
        <v>224</v>
      </c>
    </row>
    <row r="5" spans="1:6" x14ac:dyDescent="0.25">
      <c r="A5" t="s">
        <v>225</v>
      </c>
      <c r="B5">
        <v>1221</v>
      </c>
      <c r="C5" t="s">
        <v>223</v>
      </c>
    </row>
    <row r="6" spans="1:6" x14ac:dyDescent="0.25">
      <c r="A6" t="s">
        <v>226</v>
      </c>
      <c r="B6">
        <v>1858</v>
      </c>
      <c r="C6" t="s">
        <v>223</v>
      </c>
    </row>
    <row r="7" spans="1:6" x14ac:dyDescent="0.25">
      <c r="A7" t="s">
        <v>227</v>
      </c>
      <c r="B7">
        <v>2794</v>
      </c>
      <c r="C7" t="s">
        <v>223</v>
      </c>
    </row>
    <row r="8" spans="1:6" x14ac:dyDescent="0.25">
      <c r="A8" t="s">
        <v>228</v>
      </c>
      <c r="B8" s="19">
        <f>0.508*(B5+B6+B7)/1000</f>
        <v>2.9834839999999998</v>
      </c>
      <c r="C8" s="39" t="s">
        <v>229</v>
      </c>
      <c r="D8" s="39" t="s">
        <v>230</v>
      </c>
    </row>
    <row r="9" spans="1:6" x14ac:dyDescent="0.25">
      <c r="A9" t="s">
        <v>231</v>
      </c>
      <c r="B9">
        <v>32.6</v>
      </c>
      <c r="C9" t="s">
        <v>232</v>
      </c>
      <c r="D9" t="s">
        <v>233</v>
      </c>
    </row>
    <row r="11" spans="1:6" x14ac:dyDescent="0.25">
      <c r="A11" s="38" t="s">
        <v>234</v>
      </c>
    </row>
    <row r="12" spans="1:6" x14ac:dyDescent="0.25">
      <c r="A12" t="s">
        <v>235</v>
      </c>
      <c r="B12">
        <v>2</v>
      </c>
      <c r="C12" t="s">
        <v>236</v>
      </c>
      <c r="D12" t="s">
        <v>237</v>
      </c>
    </row>
    <row r="13" spans="1:6" x14ac:dyDescent="0.25">
      <c r="A13" t="s">
        <v>238</v>
      </c>
      <c r="B13" s="40">
        <v>375</v>
      </c>
      <c r="C13" s="39" t="s">
        <v>239</v>
      </c>
    </row>
    <row r="14" spans="1:6" x14ac:dyDescent="0.25">
      <c r="A14" t="s">
        <v>240</v>
      </c>
      <c r="B14" s="41">
        <f>B12*B13</f>
        <v>750</v>
      </c>
      <c r="C14" s="39" t="s">
        <v>241</v>
      </c>
    </row>
    <row r="16" spans="1:6" x14ac:dyDescent="0.25">
      <c r="A16" s="38" t="s">
        <v>242</v>
      </c>
    </row>
    <row r="17" spans="1:4" x14ac:dyDescent="0.25">
      <c r="A17" t="s">
        <v>243</v>
      </c>
      <c r="B17">
        <v>4</v>
      </c>
      <c r="C17" t="s">
        <v>244</v>
      </c>
      <c r="D17" t="s">
        <v>245</v>
      </c>
    </row>
    <row r="18" spans="1:4" x14ac:dyDescent="0.25">
      <c r="A18" t="s">
        <v>238</v>
      </c>
      <c r="B18" s="40">
        <v>45</v>
      </c>
      <c r="C18" s="39" t="s">
        <v>246</v>
      </c>
    </row>
    <row r="19" spans="1:4" x14ac:dyDescent="0.25">
      <c r="A19" t="s">
        <v>247</v>
      </c>
      <c r="B19" s="41">
        <f>B17*B18</f>
        <v>180</v>
      </c>
      <c r="C19" s="39" t="s">
        <v>241</v>
      </c>
    </row>
    <row r="21" spans="1:4" x14ac:dyDescent="0.25">
      <c r="A21" s="38" t="s">
        <v>248</v>
      </c>
    </row>
    <row r="22" spans="1:4" x14ac:dyDescent="0.25">
      <c r="A22" t="s">
        <v>182</v>
      </c>
      <c r="B22">
        <v>1</v>
      </c>
      <c r="C22" t="s">
        <v>249</v>
      </c>
      <c r="D22" t="s">
        <v>250</v>
      </c>
    </row>
    <row r="23" spans="1:4" x14ac:dyDescent="0.25">
      <c r="A23" t="s">
        <v>175</v>
      </c>
      <c r="B23">
        <v>1</v>
      </c>
      <c r="C23" t="s">
        <v>251</v>
      </c>
      <c r="D23" t="s">
        <v>252</v>
      </c>
    </row>
    <row r="24" spans="1:4" x14ac:dyDescent="0.25">
      <c r="A24" t="s">
        <v>122</v>
      </c>
      <c r="B24">
        <v>0.5</v>
      </c>
      <c r="C24" t="s">
        <v>253</v>
      </c>
      <c r="D24" t="s">
        <v>254</v>
      </c>
    </row>
    <row r="25" spans="1:4" x14ac:dyDescent="0.25">
      <c r="A25" t="s">
        <v>255</v>
      </c>
      <c r="B25">
        <v>0</v>
      </c>
      <c r="C25" t="s">
        <v>256</v>
      </c>
      <c r="D25" t="s">
        <v>257</v>
      </c>
    </row>
    <row r="27" spans="1:4" x14ac:dyDescent="0.25">
      <c r="A27" s="38" t="s">
        <v>258</v>
      </c>
    </row>
    <row r="28" spans="1:4" x14ac:dyDescent="0.25">
      <c r="A28" t="s">
        <v>259</v>
      </c>
      <c r="B28">
        <v>300</v>
      </c>
      <c r="C28" t="s">
        <v>241</v>
      </c>
      <c r="D28" t="s">
        <v>260</v>
      </c>
    </row>
    <row r="29" spans="1:4" x14ac:dyDescent="0.25">
      <c r="A29" t="s">
        <v>261</v>
      </c>
      <c r="B29">
        <v>300</v>
      </c>
      <c r="C29" t="s">
        <v>241</v>
      </c>
      <c r="D29" t="s">
        <v>262</v>
      </c>
    </row>
    <row r="30" spans="1:4" x14ac:dyDescent="0.25">
      <c r="A30" t="s">
        <v>263</v>
      </c>
      <c r="B30">
        <v>90</v>
      </c>
      <c r="C30" t="s">
        <v>241</v>
      </c>
      <c r="D30" t="s">
        <v>264</v>
      </c>
    </row>
    <row r="32" spans="1:4" x14ac:dyDescent="0.25">
      <c r="A32" s="38" t="s">
        <v>265</v>
      </c>
    </row>
    <row r="33" spans="1:6" x14ac:dyDescent="0.25">
      <c r="A33" s="1" t="s">
        <v>266</v>
      </c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</sheetData>
  <mergeCells count="2">
    <mergeCell ref="A1:F1"/>
    <mergeCell ref="A33:F3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5" customWidth="1"/>
    <col min="2" max="2" width="60" customWidth="1"/>
    <col min="3" max="3" width="50" customWidth="1"/>
    <col min="4" max="4" width="22" customWidth="1"/>
  </cols>
  <sheetData>
    <row r="1" spans="1:4" ht="20.25" x14ac:dyDescent="0.3">
      <c r="A1" s="4" t="s">
        <v>267</v>
      </c>
      <c r="B1" s="4"/>
      <c r="C1" s="4"/>
      <c r="D1" s="4"/>
    </row>
    <row r="3" spans="1:4" x14ac:dyDescent="0.25">
      <c r="A3" s="25" t="s">
        <v>268</v>
      </c>
      <c r="B3" s="25" t="s">
        <v>269</v>
      </c>
      <c r="C3" s="25" t="s">
        <v>270</v>
      </c>
      <c r="D3" s="25" t="s">
        <v>271</v>
      </c>
    </row>
    <row r="4" spans="1:4" ht="25.5" x14ac:dyDescent="0.25">
      <c r="A4" s="29" t="s">
        <v>272</v>
      </c>
      <c r="B4" s="29" t="s">
        <v>273</v>
      </c>
      <c r="C4" s="29" t="s">
        <v>274</v>
      </c>
      <c r="D4" s="37" t="s">
        <v>275</v>
      </c>
    </row>
    <row r="5" spans="1:4" ht="25.5" x14ac:dyDescent="0.25">
      <c r="A5" s="29" t="s">
        <v>276</v>
      </c>
      <c r="B5" s="29" t="s">
        <v>277</v>
      </c>
      <c r="C5" s="29" t="s">
        <v>278</v>
      </c>
      <c r="D5" s="29" t="s">
        <v>279</v>
      </c>
    </row>
    <row r="6" spans="1:4" x14ac:dyDescent="0.25">
      <c r="A6" s="29" t="s">
        <v>280</v>
      </c>
      <c r="B6" s="37" t="s">
        <v>281</v>
      </c>
      <c r="C6" s="29" t="s">
        <v>282</v>
      </c>
      <c r="D6" s="37" t="s">
        <v>283</v>
      </c>
    </row>
    <row r="7" spans="1:4" x14ac:dyDescent="0.25">
      <c r="A7" s="29" t="s">
        <v>284</v>
      </c>
      <c r="B7" s="29" t="s">
        <v>285</v>
      </c>
      <c r="C7" s="29" t="s">
        <v>286</v>
      </c>
      <c r="D7" s="29" t="s">
        <v>287</v>
      </c>
    </row>
    <row r="8" spans="1:4" x14ac:dyDescent="0.25">
      <c r="A8" s="29" t="s">
        <v>288</v>
      </c>
      <c r="B8" s="29" t="s">
        <v>289</v>
      </c>
      <c r="C8" s="29" t="s">
        <v>290</v>
      </c>
      <c r="D8" s="29" t="s">
        <v>291</v>
      </c>
    </row>
    <row r="9" spans="1:4" ht="25.5" x14ac:dyDescent="0.25">
      <c r="A9" s="29" t="s">
        <v>292</v>
      </c>
      <c r="B9" s="29" t="s">
        <v>293</v>
      </c>
      <c r="C9" s="29" t="s">
        <v>294</v>
      </c>
      <c r="D9" s="37" t="s">
        <v>295</v>
      </c>
    </row>
    <row r="10" spans="1:4" x14ac:dyDescent="0.25">
      <c r="A10" s="29" t="s">
        <v>296</v>
      </c>
      <c r="B10" s="29" t="s">
        <v>297</v>
      </c>
      <c r="C10" s="29" t="s">
        <v>298</v>
      </c>
      <c r="D10" s="29" t="s">
        <v>299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2" width="42" customWidth="1"/>
    <col min="3" max="3" width="22" customWidth="1"/>
    <col min="4" max="4" width="55" customWidth="1"/>
    <col min="5" max="5" width="42" customWidth="1"/>
    <col min="6" max="6" width="35" customWidth="1"/>
    <col min="7" max="7" width="50" customWidth="1"/>
  </cols>
  <sheetData>
    <row r="1" spans="1:7" ht="20.25" x14ac:dyDescent="0.3">
      <c r="A1" s="4" t="s">
        <v>300</v>
      </c>
      <c r="B1" s="4"/>
      <c r="C1" s="4"/>
      <c r="D1" s="4"/>
      <c r="E1" s="4"/>
      <c r="F1" s="4"/>
      <c r="G1" s="4"/>
    </row>
    <row r="2" spans="1:7" x14ac:dyDescent="0.25">
      <c r="A2" s="3" t="s">
        <v>301</v>
      </c>
      <c r="B2" s="3"/>
      <c r="C2" s="3"/>
      <c r="D2" s="3"/>
      <c r="E2" s="3"/>
      <c r="F2" s="3"/>
      <c r="G2" s="3"/>
    </row>
    <row r="4" spans="1:7" x14ac:dyDescent="0.25">
      <c r="A4" s="25" t="s">
        <v>55</v>
      </c>
      <c r="B4" s="25" t="s">
        <v>302</v>
      </c>
      <c r="C4" s="25" t="s">
        <v>303</v>
      </c>
      <c r="D4" s="25" t="s">
        <v>304</v>
      </c>
      <c r="E4" s="25" t="s">
        <v>305</v>
      </c>
      <c r="F4" s="25" t="s">
        <v>306</v>
      </c>
      <c r="G4" s="25" t="s">
        <v>307</v>
      </c>
    </row>
    <row r="5" spans="1:7" ht="25.5" x14ac:dyDescent="0.25">
      <c r="A5" s="42" t="s">
        <v>308</v>
      </c>
      <c r="B5" s="42" t="s">
        <v>309</v>
      </c>
      <c r="C5" s="42" t="s">
        <v>310</v>
      </c>
      <c r="D5" s="42" t="s">
        <v>311</v>
      </c>
      <c r="E5" s="42" t="s">
        <v>312</v>
      </c>
      <c r="F5" s="42" t="s">
        <v>313</v>
      </c>
      <c r="G5" s="42" t="s">
        <v>314</v>
      </c>
    </row>
    <row r="6" spans="1:7" ht="25.5" x14ac:dyDescent="0.25">
      <c r="A6" s="42" t="s">
        <v>308</v>
      </c>
      <c r="B6" s="42" t="s">
        <v>315</v>
      </c>
      <c r="C6" s="42" t="s">
        <v>316</v>
      </c>
      <c r="D6" s="42" t="s">
        <v>317</v>
      </c>
      <c r="E6" s="42" t="s">
        <v>318</v>
      </c>
      <c r="F6" s="42" t="s">
        <v>319</v>
      </c>
      <c r="G6" s="42" t="s">
        <v>320</v>
      </c>
    </row>
    <row r="7" spans="1:7" ht="38.25" x14ac:dyDescent="0.25">
      <c r="A7" s="43" t="s">
        <v>112</v>
      </c>
      <c r="B7" s="43" t="s">
        <v>321</v>
      </c>
      <c r="C7" s="43" t="s">
        <v>322</v>
      </c>
      <c r="D7" s="43" t="s">
        <v>323</v>
      </c>
      <c r="E7" s="43" t="s">
        <v>324</v>
      </c>
      <c r="F7" s="43" t="s">
        <v>325</v>
      </c>
      <c r="G7" s="43" t="s">
        <v>326</v>
      </c>
    </row>
    <row r="8" spans="1:7" ht="25.5" x14ac:dyDescent="0.25">
      <c r="A8" s="43" t="s">
        <v>112</v>
      </c>
      <c r="B8" s="43" t="s">
        <v>327</v>
      </c>
      <c r="C8" s="43" t="s">
        <v>328</v>
      </c>
      <c r="D8" s="43" t="s">
        <v>329</v>
      </c>
      <c r="E8" s="43" t="s">
        <v>330</v>
      </c>
      <c r="F8" s="43" t="s">
        <v>331</v>
      </c>
      <c r="G8" s="43" t="s">
        <v>332</v>
      </c>
    </row>
    <row r="9" spans="1:7" x14ac:dyDescent="0.25">
      <c r="A9" s="43" t="s">
        <v>112</v>
      </c>
      <c r="B9" s="43" t="s">
        <v>333</v>
      </c>
      <c r="C9" s="43" t="s">
        <v>334</v>
      </c>
      <c r="D9" s="43" t="s">
        <v>335</v>
      </c>
      <c r="E9" s="43" t="s">
        <v>336</v>
      </c>
      <c r="F9" s="43" t="s">
        <v>337</v>
      </c>
      <c r="G9" s="43" t="s">
        <v>338</v>
      </c>
    </row>
    <row r="10" spans="1:7" ht="25.5" x14ac:dyDescent="0.25">
      <c r="A10" s="43" t="s">
        <v>339</v>
      </c>
      <c r="B10" s="43" t="s">
        <v>340</v>
      </c>
      <c r="C10" s="43" t="s">
        <v>341</v>
      </c>
      <c r="D10" s="43" t="s">
        <v>342</v>
      </c>
      <c r="E10" s="43" t="s">
        <v>343</v>
      </c>
      <c r="F10" s="43" t="s">
        <v>344</v>
      </c>
      <c r="G10" s="43" t="s">
        <v>345</v>
      </c>
    </row>
    <row r="11" spans="1:7" ht="25.5" x14ac:dyDescent="0.25">
      <c r="A11" s="43" t="s">
        <v>78</v>
      </c>
      <c r="B11" s="43" t="s">
        <v>346</v>
      </c>
      <c r="C11" s="43" t="s">
        <v>347</v>
      </c>
      <c r="D11" s="43" t="s">
        <v>348</v>
      </c>
      <c r="E11" s="43" t="s">
        <v>349</v>
      </c>
      <c r="F11" s="43" t="s">
        <v>350</v>
      </c>
      <c r="G11" s="43" t="s">
        <v>351</v>
      </c>
    </row>
    <row r="13" spans="1:7" x14ac:dyDescent="0.25">
      <c r="A13" s="2" t="s">
        <v>352</v>
      </c>
      <c r="B13" s="2"/>
      <c r="C13" s="2"/>
      <c r="D13" s="2"/>
      <c r="E13" s="2"/>
      <c r="F13" s="2"/>
      <c r="G13" s="2"/>
    </row>
    <row r="15" spans="1:7" x14ac:dyDescent="0.25">
      <c r="A15" s="2" t="s">
        <v>353</v>
      </c>
      <c r="B15" s="2"/>
      <c r="C15" s="2"/>
      <c r="D15" s="2"/>
      <c r="E15" s="2"/>
      <c r="F15" s="2"/>
      <c r="G15" s="2"/>
    </row>
  </sheetData>
  <mergeCells count="4">
    <mergeCell ref="A1:G1"/>
    <mergeCell ref="A2:G2"/>
    <mergeCell ref="A13:G13"/>
    <mergeCell ref="A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22" customWidth="1"/>
    <col min="3" max="3" width="70" customWidth="1"/>
    <col min="4" max="4" width="45" customWidth="1"/>
    <col min="5" max="5" width="35" customWidth="1"/>
  </cols>
  <sheetData>
    <row r="1" spans="1:5" ht="20.25" x14ac:dyDescent="0.3">
      <c r="A1" s="4" t="s">
        <v>354</v>
      </c>
      <c r="B1" s="4"/>
      <c r="C1" s="4"/>
      <c r="D1" s="4"/>
      <c r="E1" s="4"/>
    </row>
    <row r="3" spans="1:5" x14ac:dyDescent="0.25">
      <c r="A3" s="25" t="s">
        <v>355</v>
      </c>
      <c r="B3" s="25" t="s">
        <v>356</v>
      </c>
      <c r="C3" s="25" t="s">
        <v>357</v>
      </c>
      <c r="D3" s="25" t="s">
        <v>358</v>
      </c>
      <c r="E3" s="25" t="s">
        <v>359</v>
      </c>
    </row>
    <row r="4" spans="1:5" x14ac:dyDescent="0.25">
      <c r="A4" s="29" t="s">
        <v>360</v>
      </c>
      <c r="B4" s="29" t="s">
        <v>361</v>
      </c>
      <c r="C4" s="29" t="s">
        <v>362</v>
      </c>
      <c r="D4" s="29" t="s">
        <v>363</v>
      </c>
      <c r="E4" s="29" t="s">
        <v>364</v>
      </c>
    </row>
    <row r="5" spans="1:5" ht="25.5" x14ac:dyDescent="0.25">
      <c r="A5" s="29" t="s">
        <v>365</v>
      </c>
      <c r="B5" s="29" t="s">
        <v>366</v>
      </c>
      <c r="C5" s="29" t="s">
        <v>367</v>
      </c>
      <c r="D5" s="29" t="s">
        <v>368</v>
      </c>
      <c r="E5" s="29" t="s">
        <v>369</v>
      </c>
    </row>
    <row r="6" spans="1:5" ht="25.5" x14ac:dyDescent="0.25">
      <c r="A6" s="29" t="s">
        <v>365</v>
      </c>
      <c r="B6" s="29" t="s">
        <v>370</v>
      </c>
      <c r="C6" s="29" t="s">
        <v>371</v>
      </c>
      <c r="D6" s="29" t="s">
        <v>372</v>
      </c>
      <c r="E6" s="29" t="s">
        <v>373</v>
      </c>
    </row>
    <row r="7" spans="1:5" ht="25.5" x14ac:dyDescent="0.25">
      <c r="A7" s="29" t="s">
        <v>365</v>
      </c>
      <c r="B7" s="29" t="s">
        <v>374</v>
      </c>
      <c r="C7" s="29" t="s">
        <v>375</v>
      </c>
      <c r="D7" s="29" t="s">
        <v>376</v>
      </c>
      <c r="E7" s="29" t="s">
        <v>377</v>
      </c>
    </row>
    <row r="8" spans="1:5" ht="25.5" x14ac:dyDescent="0.25">
      <c r="A8" s="29" t="s">
        <v>365</v>
      </c>
      <c r="B8" s="29" t="s">
        <v>378</v>
      </c>
      <c r="C8" s="29" t="s">
        <v>379</v>
      </c>
      <c r="D8" s="29" t="s">
        <v>380</v>
      </c>
      <c r="E8" s="29" t="s">
        <v>381</v>
      </c>
    </row>
    <row r="9" spans="1:5" ht="25.5" x14ac:dyDescent="0.25">
      <c r="A9" s="29" t="s">
        <v>365</v>
      </c>
      <c r="B9" s="29" t="s">
        <v>382</v>
      </c>
      <c r="C9" s="29" t="s">
        <v>383</v>
      </c>
      <c r="D9" s="29" t="s">
        <v>384</v>
      </c>
      <c r="E9" s="29" t="s">
        <v>385</v>
      </c>
    </row>
    <row r="10" spans="1:5" ht="25.5" x14ac:dyDescent="0.25">
      <c r="A10" s="29" t="s">
        <v>365</v>
      </c>
      <c r="B10" s="29" t="s">
        <v>386</v>
      </c>
      <c r="C10" s="29" t="s">
        <v>387</v>
      </c>
      <c r="D10" s="29" t="s">
        <v>388</v>
      </c>
      <c r="E10" s="29" t="s">
        <v>389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H. Order-Ready Dashboard</vt:lpstr>
      <vt:lpstr>A. Master Reconciliation BOM</vt:lpstr>
      <vt:lpstr>B. Supplier Purchasing List</vt:lpstr>
      <vt:lpstr>C. Shortage &amp; Confirmation</vt:lpstr>
      <vt:lpstr>D. Calc Detail Basis</vt:lpstr>
      <vt:lpstr>E. Drawing vs Site Assumptions</vt:lpstr>
      <vt:lpstr>F. Local Supplier Directory</vt:lpstr>
      <vt:lpstr>G. BOM Change Log</vt:lpstr>
      <vt:lpstr>'A. Master Reconciliation BOM'!Print_Titles</vt:lpstr>
      <vt:lpstr>'B. Supplier Purchasing List'!Print_Titles</vt:lpstr>
      <vt:lpstr>'C. Shortage &amp; Confirmation'!Print_Titles</vt:lpstr>
      <vt:lpstr>'D. Calc Detail Basis'!Print_Titles</vt:lpstr>
      <vt:lpstr>'E. Drawing vs Site Assumptions'!Print_Titles</vt:lpstr>
      <vt:lpstr>'F. Local Supplier Directory'!Print_Titles</vt:lpstr>
      <vt:lpstr>'G. BOM Change Log'!Print_Titles</vt:lpstr>
      <vt:lpstr>'H. Order-Ready Dashboard'!Print_Titles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2026-09-15T03:49:33Z</dcterms:created>
  <dcterms:modified xsi:type="dcterms:W3CDTF">2026-09-15T06:20:36Z</dcterms:modified>
  <dc:language>en-US</dc:language>
</cp:coreProperties>
</file>